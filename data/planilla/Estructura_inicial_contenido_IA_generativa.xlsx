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éeme" sheetId="1" r:id="rId5"/>
    <sheet state="visible" name="Parámetros" sheetId="2" r:id="rId6"/>
    <sheet state="visible" name="Resumen horas" sheetId="3" r:id="rId7"/>
    <sheet state="visible" name="Estructura" sheetId="4" r:id="rId8"/>
    <sheet state="visible" name="Matriz coherencia" sheetId="5" r:id="rId9"/>
    <sheet state="visible" name="Recursos" sheetId="6" r:id="rId10"/>
    <sheet state="visible" name="Casos y proyecto" sheetId="7" r:id="rId11"/>
    <sheet state="visible" name="Evaluación" sheetId="8" r:id="rId12"/>
    <sheet state="visible" name="Cumplimiento RE 2484" sheetId="9" r:id="rId13"/>
    <sheet state="visible" name="Pendientes" sheetId="10" r:id="rId14"/>
  </sheets>
  <definedNames>
    <definedName hidden="1" localSheetId="5" name="_xlnm._FilterDatabase">Recursos!$A$4:$M$105</definedName>
  </definedNames>
  <calcPr/>
</workbook>
</file>

<file path=xl/sharedStrings.xml><?xml version="1.0" encoding="utf-8"?>
<sst xmlns="http://schemas.openxmlformats.org/spreadsheetml/2006/main" count="2042" uniqueCount="921">
  <si>
    <t>Estructura inicial de contenido · IA generativa para entornos laborales</t>
  </si>
  <si>
    <t>Resumen y coherencia de horas por módulo (desglose horario)</t>
  </si>
  <si>
    <t>Parámetros del modelo de tiempos</t>
  </si>
  <si>
    <t>Estructura: módulo → competencia → aprendizaje esperado → contenidos → recursos</t>
  </si>
  <si>
    <t>Curso e-learning asincrónico · 88 h · 6 módulos · 22 aprendizajes esperados · diseño propio, PF1823 solo como referencia</t>
  </si>
  <si>
    <t>Edita los valores en azul; todas las horas se recalculan.</t>
  </si>
  <si>
    <t>Un AE por tema. Verbo de aplicación + objeto + condición. Ascenso taxonómico dentro de cada módulo. Diseño propio, pertinente a cada módulo y tema (PF1823 solo como referencia).</t>
  </si>
  <si>
    <t>La RE 2.484 (IV.2.2 c) exige concordancia entre la duración total y el desglose horario. Todo en minutos, calculado desde «Recursos»; la diferencia debe ser 0.</t>
  </si>
  <si>
    <t>Parámetro</t>
  </si>
  <si>
    <t>ID AE</t>
  </si>
  <si>
    <t>Módulo</t>
  </si>
  <si>
    <t>Qué es</t>
  </si>
  <si>
    <t>Estructura base del curso: módulo → competencia → aprendizaje esperado (AE) → contenidos (saber / saber hacer / saber ser) → técnica metodológica → recursos (Rise, quizzes, casos, hitos del proyecto, foro, videos, evaluaciones). Sirve de insumo para guiones de video, infografías y páginas de Rise.</t>
  </si>
  <si>
    <t>Descripción</t>
  </si>
  <si>
    <t>Valor</t>
  </si>
  <si>
    <t>Unidad</t>
  </si>
  <si>
    <t>Minutos por pantalla Rise</t>
  </si>
  <si>
    <t>Nombre del módulo</t>
  </si>
  <si>
    <t>Nombre</t>
  </si>
  <si>
    <t>Competencia del módulo</t>
  </si>
  <si>
    <t>Horas objetivo</t>
  </si>
  <si>
    <t>Tema (propuesta)</t>
  </si>
  <si>
    <t>Lectura reflexiva de una pantalla</t>
  </si>
  <si>
    <t>Aprendizaje esperado</t>
  </si>
  <si>
    <t>Min objetivo</t>
  </si>
  <si>
    <t>Nivel taxonómico (Bloom)</t>
  </si>
  <si>
    <t>Min Rise</t>
  </si>
  <si>
    <t>Saber (conocimientos)</t>
  </si>
  <si>
    <t>Saber hacer (habilidades)</t>
  </si>
  <si>
    <t>Audiencia</t>
  </si>
  <si>
    <t>Min Quiz formativo</t>
  </si>
  <si>
    <t>Saber ser (actitudes)</t>
  </si>
  <si>
    <t>Min Caso de aplicación</t>
  </si>
  <si>
    <t>min</t>
  </si>
  <si>
    <t>Pensado para personas cesantes o en búsqueda de empleo como público principal, y que también sirva a quienes ya trabajan y quieren sumar IA. Un solo diseño para ambos: el proyecto parte de un «desafío laboral real», definido como una tarea de un cargo que la persona ejerce hoy o al que aspira (tomada de una oferta real). Los casos y ejemplos usan situaciones laborales comunes, sin suponer un empleo actual ni licencias corporativas: se priorizan herramientas gratuitas o con plan gratuito y uso desde celular.</t>
  </si>
  <si>
    <t>Min Hito proyecto</t>
  </si>
  <si>
    <t>Técnica metodológica</t>
  </si>
  <si>
    <t>Quiz formativo por tema</t>
  </si>
  <si>
    <t>Rise asociado</t>
  </si>
  <si>
    <t>Solo en personas que estén trabajando. Está orientado a personas que usen IA en temas administrativos y de productividad en el trabajo.</t>
  </si>
  <si>
    <t>Min Foro</t>
  </si>
  <si>
    <t>Duración de cada quiz automatizado</t>
  </si>
  <si>
    <t>Pantallas Rise</t>
  </si>
  <si>
    <t>Min Video</t>
  </si>
  <si>
    <t>Foro por módulo</t>
  </si>
  <si>
    <t>Min Evaluación sumativa</t>
  </si>
  <si>
    <t>Normativa base</t>
  </si>
  <si>
    <t>Quiz formativo (15 min)</t>
  </si>
  <si>
    <t>Participación guiada con tutor</t>
  </si>
  <si>
    <t>N° Rise</t>
  </si>
  <si>
    <t>RE 2.484 de 19-10-2026 (Instructivo FT), leída íntegra: ver hoja «Cumplimiento RE 2484», que cruza cada exigencia con este diseño. Importante: la RE remite los criterios, indicadores y medios de verificación de la evaluación técnica a un «Anexo Técnico» y a una «Guía Técnica» que NO vienen en el documento y que aún no están publicados en sence.cl. Mientras no los tengamos, no es posible asegurar la aprobación a la primera; ver «Pendientes».</t>
  </si>
  <si>
    <t>Min Inducción/Diagnóstica</t>
  </si>
  <si>
    <t>N° Quiz</t>
  </si>
  <si>
    <t>Estado</t>
  </si>
  <si>
    <t>Video de bienvenida</t>
  </si>
  <si>
    <t>Min Resumen y glosario</t>
  </si>
  <si>
    <t>Por módulo</t>
  </si>
  <si>
    <t>N° Casos/Hitos</t>
  </si>
  <si>
    <t>Min diseñados</t>
  </si>
  <si>
    <t>BORRADOR de trabajo. Los 22 AE y las 6 competencias están diseñados para ser pertinentes a los módulos y temas de la propuesta a Accenture. PF1823 es solo una referencia: no se exige que coincidan con él. Aún NO se estructuró bajo la nueva normativa SENCE (RE 2.484): eso viene después, con el texto completo publicado.</t>
  </si>
  <si>
    <t>N° Evaluaciones</t>
  </si>
  <si>
    <t>Diferencia (min)</t>
  </si>
  <si>
    <t>Video de resumen</t>
  </si>
  <si>
    <t>Modelo de tiempos</t>
  </si>
  <si>
    <t>Cobertura</t>
  </si>
  <si>
    <t>1 pantalla de Rise = 7,5 min · quiz formativo = 15 min por tema · foro = 30 min por módulo · videos de bienvenida y de resumen = 3 min cada uno · caso o hito de proyecto = 1,5 h. Todos son parámetros editables en la hoja «Parámetros»; el resto se recalcula.</t>
  </si>
  <si>
    <t>N° AE</t>
  </si>
  <si>
    <t>Criterio de diseño</t>
  </si>
  <si>
    <t>Caso o hito de proyecto</t>
  </si>
  <si>
    <t>M1-AE1</t>
  </si>
  <si>
    <t>¿Coherente?</t>
  </si>
  <si>
    <t>1 tema = 1 AE = 1 Rise + 1 quiz formativo. Máximo 4 AE por módulo. Cada AE se trabaja en al menos un caso o hito del proyecto y se mide en la evaluación sumativa del módulo (ver columna «Cobertura» en «Estructura»).</t>
  </si>
  <si>
    <t>Duración de cada bloque de aplicación</t>
  </si>
  <si>
    <t>Proyecto incremental</t>
  </si>
  <si>
    <t>Inducción + diagnóstica (M1)</t>
  </si>
  <si>
    <t>Inducción tecnológica-metodológica, guía del participante y evaluación diagnóstica</t>
  </si>
  <si>
    <t>Un solo proyecto aplicado crece módulo a módulo (hitos P1 a P6d) y culmina en el pitch/portafolio. Cada hito tiene retroalimentación del facilitador/tutor responsable: es la instancia obligatoria de interacción, retroalimentación o acompañamiento que exigen la Ley 21.850 (art. 29 N°1) y la RE 2.484 (IV.2.1 g), además de la evaluación (IV.2.1 h).</t>
  </si>
  <si>
    <t>Casos de aplicación</t>
  </si>
  <si>
    <t>Horas totales del curso</t>
  </si>
  <si>
    <t>Según propuesta / plan formativo</t>
  </si>
  <si>
    <t>Los nombres de empresas son CANDIDATOS reales y públicos. Ninguno está verificado todavía: antes de guionar hay que localizar la fuente primaria, citarla con fecha y no usar cifras sin respaldo. No se inventan empresas, citas ni resultados.</t>
  </si>
  <si>
    <t>h</t>
  </si>
  <si>
    <t>Tolerancia por módulo</t>
  </si>
  <si>
    <t>Hojas</t>
  </si>
  <si>
    <t>Diferencia aceptable entre horas objetivo y diseñadas</t>
  </si>
  <si>
    <t>Parámetros · Resumen horas · Estructura · Matriz coherencia · Recursos · Casos y proyecto · Evaluación · Cumplimiento RE 2484 · Pendientes</t>
  </si>
  <si>
    <t>Introducción a la IA generativa y prompt básico</t>
  </si>
  <si>
    <t>Convención de color</t>
  </si>
  <si>
    <t>Azul (letra) = dato que puedes editar. Negro = fórmula o texto fijo. Encabezados en azul #0090F8.</t>
  </si>
  <si>
    <t>Empoderatech.com</t>
  </si>
  <si>
    <t>Interactuar con modelos de IA generativa mediante prompts efectivos y validación de resultados, para apoyar tareas de oficina de forma verificada.</t>
  </si>
  <si>
    <t>Fundamentos de IA generativa</t>
  </si>
  <si>
    <t>Explicar el funcionamiento general, los tipos y los límites de la IA generativa, ejemplificando sus usos en tareas laborales cotidianas.</t>
  </si>
  <si>
    <t>Comprender</t>
  </si>
  <si>
    <t>Qué es IA generativa; modelos de lenguaje, imagen y audio; tokens y contexto; límites (alucinación, sesgo, fecha de corte).</t>
  </si>
  <si>
    <t>Distinguir qué tareas laborales conviene o no delegar a un modelo generativo; probar un asistente con una tarea simple.</t>
  </si>
  <si>
    <t>Curiosidad crítica; apertura a un uso responsable de la tecnología.</t>
  </si>
  <si>
    <t>Exposición interactiva en Rise + ejemplos guiados</t>
  </si>
  <si>
    <t>Rise M1-T1 · Fundamentos de IA generativa</t>
  </si>
  <si>
    <t>8 ítems: conceptos, tipos de modelo y límites (opción múltiple, V/F con justificación)</t>
  </si>
  <si>
    <t>M1-AE2</t>
  </si>
  <si>
    <t>Prompts efectivos</t>
  </si>
  <si>
    <t>Formular prompts efectivos con rol, contexto, tarea y formato para obtener respuestas útiles en tareas laborales simples.</t>
  </si>
  <si>
    <t>Aplicar</t>
  </si>
  <si>
    <t>Estructura de un prompt (rol, contexto, tarea, formato, restricciones); errores frecuentes; iteración.</t>
  </si>
  <si>
    <t>Redactar y refinar prompts para resumir, reescribir y clasificar información de oficina; armar una biblioteca personal de prompts.</t>
  </si>
  <si>
    <t>Perseverancia en la iteración; orden y documentación del propio trabajo.</t>
  </si>
  <si>
    <t>Práctica guiada con ejemplos antes/después + laboratorio de prompts</t>
  </si>
  <si>
    <t>Rise M1-T2 · Prompts efectivos</t>
  </si>
  <si>
    <t>8 ítems: identificar componentes, ordenar pasos, elegir el mejor prompt entre variantes</t>
  </si>
  <si>
    <t>Matriz de coherencia curricular</t>
  </si>
  <si>
    <t>RE 2.484 IV.2.2 b) y IV.3 a), b), c), f): competencia, AE, contenidos, técnicas, actividades, duración y evaluación deben ser coherentes entre sí.</t>
  </si>
  <si>
    <t>M1-AE3</t>
  </si>
  <si>
    <t>Parámetros de generación</t>
  </si>
  <si>
    <t>Ajustar parámetros de generación (temperatura, longitud, iteración) para adecuar las respuestas a distintos objetivos de una tarea.</t>
  </si>
  <si>
    <t>Parámetros de generación y su efecto; relación creatividad–precisión; configuración según tarea.</t>
  </si>
  <si>
    <t>Bloom</t>
  </si>
  <si>
    <t>Comparar salidas de un mismo prompt con distintos parámetros y seleccionar la configuración más adecuada.</t>
  </si>
  <si>
    <t>Rigor al comparar y registrar resultados.</t>
  </si>
  <si>
    <t>Experimentación guiada (comparación de salidas)</t>
  </si>
  <si>
    <t>Contenidos (saber hacer)</t>
  </si>
  <si>
    <t>Rise M1-T3 · Parámetros de generación</t>
  </si>
  <si>
    <t>Actividades que lo trabajan</t>
  </si>
  <si>
    <t>Criterios de evaluación</t>
  </si>
  <si>
    <t>Instrumentos</t>
  </si>
  <si>
    <t>8 ítems: elegir parámetro según objetivo, interpretar salidas comparadas</t>
  </si>
  <si>
    <t>Min directos AE (Rise + quiz)</t>
  </si>
  <si>
    <t>Comunicación y redacción profesional</t>
  </si>
  <si>
    <t>M1-AE4</t>
  </si>
  <si>
    <t>Validación de resultados</t>
  </si>
  <si>
    <t>Validar resultados generados por IA, contrastándolos con fuentes confiables, para detectar alucinaciones, errores y sesgos.</t>
  </si>
  <si>
    <t>Evaluar</t>
  </si>
  <si>
    <t>Tipos de error (alucinación, sesgo, desactualización); criterios de confiabilidad de fuentes; checklist de validación.</t>
  </si>
  <si>
    <t>Rise: Rise M1-T1 · Fundamentos de IA generativa; Foro M1; P1 (Hito proyecto)</t>
  </si>
  <si>
    <t>Aplicar un checklist de validación a respuestas generadas y corregir o descartar lo no verificable.</t>
  </si>
  <si>
    <t>C1 Describe correctamente el funcionamiento y los tipos de IA generativa. C2 Ejemplifica al menos 3 usos y 2 límites en tareas laborales.</t>
  </si>
  <si>
    <t>Responsabilidad profesional sobre lo que se firma o comparte; honestidad intelectual.</t>
  </si>
  <si>
    <t>Aprendizaje basado en casos reales (errores documentados)</t>
  </si>
  <si>
    <t>Quiz formativo M1-AE1; Evaluación sumativa M1; Rúbrica P1; Evaluación final integradora</t>
  </si>
  <si>
    <t>Rise M1-T4 · Validación de resultados</t>
  </si>
  <si>
    <t>8 ítems: detectar errores en respuestas dadas, decidir qué verificar y cómo</t>
  </si>
  <si>
    <t>Recursos por módulo (en orden de aprendizaje)</t>
  </si>
  <si>
    <t>Rise: Rise M1-T2 · Prompts efectivos; Foro M1; P1 (Hito proyecto); C1 (Caso de aplicación)</t>
  </si>
  <si>
    <t>C1 Incluye rol, contexto, tarea y formato en el prompt. C2 Obtiene una respuesta útil tras iterar al menos una vez.</t>
  </si>
  <si>
    <t>Cada fila es un recurso producible. Duración en minutos calculada con los parámetros. Estado y responsable se editan.</t>
  </si>
  <si>
    <t>Quiz formativo M1-AE2; Evaluación sumativa M1; Rúbrica P1; Análisis de caso C1; Evaluación final integradora</t>
  </si>
  <si>
    <t>ID</t>
  </si>
  <si>
    <t>Orden</t>
  </si>
  <si>
    <t>M2-AE1</t>
  </si>
  <si>
    <t>Tipo</t>
  </si>
  <si>
    <t>Recurso / título</t>
  </si>
  <si>
    <t>AE que trabaja</t>
  </si>
  <si>
    <t>Duración (min)</t>
  </si>
  <si>
    <t>Cuenta en horas</t>
  </si>
  <si>
    <t>Interacción facilitador/tutor</t>
  </si>
  <si>
    <t>Formato / herramienta</t>
  </si>
  <si>
    <t>Responsable</t>
  </si>
  <si>
    <t>Optimizar la elaboración de documentos, presentaciones y planillas de cálculo con IA generativa, cuidando tono, audiencia y exactitud, en contextos laborales.</t>
  </si>
  <si>
    <t>Redacción y comunicación con IA</t>
  </si>
  <si>
    <t>Archivo o guion</t>
  </si>
  <si>
    <t>Redactar correos, minutas e informes con apoyo de IA, ajustando tono, registro y audiencia.</t>
  </si>
  <si>
    <t>Géneros de comunicación laboral; tono, registro y audiencia; rol de la IA como borrador.</t>
  </si>
  <si>
    <t>Producir y ajustar un correo, una minuta y un informe ejecutivo con IA, adaptando el mensaje a distintas audiencias.</t>
  </si>
  <si>
    <t>R001</t>
  </si>
  <si>
    <t>Cortesía y claridad en la comunicación profesional; responsabilidad sobre el mensaje.</t>
  </si>
  <si>
    <t>Práctica guiada con casos de comunicación laboral</t>
  </si>
  <si>
    <t>Rise M2-T1 · Redacción y comunicación con IA</t>
  </si>
  <si>
    <t>Rise: Rise M1-T3 · Parámetros de generación; Foro M1; C1 (Caso de aplicación)</t>
  </si>
  <si>
    <t>C1 Elige un parámetro adecuado al objetivo y lo justifica. C2 Compara salidas de una misma consigna y selecciona la mejor con fundamento.</t>
  </si>
  <si>
    <t>Quiz formativo M1-AE3; Evaluación sumativa M1; Análisis de caso C1; Evaluación final integradora</t>
  </si>
  <si>
    <t>8 ítems: elegir tono/registro según audiencia, corregir borradores</t>
  </si>
  <si>
    <t>Inducción/Diagnóstica</t>
  </si>
  <si>
    <t>Inducción tecnológica-metodológica (video) + Guía del participante + Evaluación diagnóstica</t>
  </si>
  <si>
    <t>—</t>
  </si>
  <si>
    <t>Sí</t>
  </si>
  <si>
    <t>No</t>
  </si>
  <si>
    <t>Video + PDF + cuestionario</t>
  </si>
  <si>
    <t>Rise: Rise M1-T4 · Validación de resultados; Foro M1; C2 (Caso de aplicación)</t>
  </si>
  <si>
    <t>C1 Identifica errores o sesgos en una respuesta generada. C2 Contrasta con al menos 2 fuentes confiables y corrige o descarta lo no verificable.</t>
  </si>
  <si>
    <t>Diseño instruccional</t>
  </si>
  <si>
    <t>Quiz formativo M1-AE4; Evaluación sumativa M1; Análisis de caso C2; Evaluación final integradora</t>
  </si>
  <si>
    <t>M2-AE2</t>
  </si>
  <si>
    <t>Pendiente</t>
  </si>
  <si>
    <t>Prompting avanzado para textos</t>
  </si>
  <si>
    <t>Aplicar técnicas de prompting avanzado (ejemplos, restricciones, encadenamiento) para mejorar la calidad y consistencia de textos profesionales.</t>
  </si>
  <si>
    <t>R002</t>
  </si>
  <si>
    <t>Few-shot, restricciones de estilo, encadenamiento de pasos, plantillas reutilizables.</t>
  </si>
  <si>
    <t>Diseñar plantillas de prompts reutilizables para comunicación profesional y evaluar su consistencia.</t>
  </si>
  <si>
    <t>Orden metodológico; mejora continua del propio proceso.</t>
  </si>
  <si>
    <t>Laboratorio de prompts con comparación de versiones</t>
  </si>
  <si>
    <t>Rise M2-T2 · Prompting avanzado para textos</t>
  </si>
  <si>
    <t>Video</t>
  </si>
  <si>
    <t>Video de bienvenida M1 (3 min): qué aprenderás, cómo se evalúa, hito del proyecto</t>
  </si>
  <si>
    <t>8 ítems: seleccionar técnica según problema, completar plantillas</t>
  </si>
  <si>
    <t>Rise: Rise M2-T1 · Redacción y comunicación con IA; Foro M2; P2 (Hito proyecto); C1 (Caso de aplicación)</t>
  </si>
  <si>
    <t>C1 Ajusta tono y registro a la audiencia indicada. C2 Entrega un texto claro y sin errores relevantes.</t>
  </si>
  <si>
    <t>Quiz formativo M2-AE1; Evaluación sumativa M2; Rúbrica P2; Análisis de caso C1; Evaluación final integradora</t>
  </si>
  <si>
    <t>Video con avatar/locución</t>
  </si>
  <si>
    <t>Investigación y análisis de información</t>
  </si>
  <si>
    <t>R003</t>
  </si>
  <si>
    <t>Rise</t>
  </si>
  <si>
    <t>Rise: Rise M2-T2 · Prompting avanzado para textos; Foro M2; C1 (Caso de aplicación)</t>
  </si>
  <si>
    <t>Rise (pantallas)</t>
  </si>
  <si>
    <t>C1 Aplica al menos dos técnicas (ejemplos, restricciones, encadenamiento). C2 Obtiene textos consistentes entre versiones.</t>
  </si>
  <si>
    <t>Quiz formativo M2-AE2; Evaluación sumativa M2; Análisis de caso C1; Evaluación final integradora</t>
  </si>
  <si>
    <t>R004</t>
  </si>
  <si>
    <t>Quiz formativo</t>
  </si>
  <si>
    <t>Quiz formativo M1-AE1 · Fundamentos de IA generativa</t>
  </si>
  <si>
    <t>M2-AE3</t>
  </si>
  <si>
    <t>Presentaciones con IA</t>
  </si>
  <si>
    <t>Estructurar presentaciones de 6 láminas con apoyo de IA a partir de un mensaje clave y una audiencia definida.</t>
  </si>
  <si>
    <t>Estructura narrativa de una presentación; relación mensaje–lámina; herramientas de IA para presentaciones.</t>
  </si>
  <si>
    <t>Generar esquema, contenido y guion de una presentación de 6 láminas y depurarla críticamente.</t>
  </si>
  <si>
    <t>Sentido de síntesis; cuidado de la imagen profesional.</t>
  </si>
  <si>
    <t>Taller práctico guiado (producto)</t>
  </si>
  <si>
    <t>Rise M2-T3 · Presentaciones con IA</t>
  </si>
  <si>
    <t>Quiz automatizado con retroalimentación + acción remedial</t>
  </si>
  <si>
    <t>8 ítems: ordenar estructura narrativa, detectar láminas sobrecargadas</t>
  </si>
  <si>
    <t>R005</t>
  </si>
  <si>
    <t>Rise: Rise M2-T3 · Presentaciones con IA; Foro M2; P2 (Hito proyecto); C2 (Caso de aplicación)</t>
  </si>
  <si>
    <t>C1 Estructura 6 láminas con un mensaje clave coherente. C2 Depura el contenido generado (sobrecarga, errores).</t>
  </si>
  <si>
    <t>Quiz formativo M2-AE3; Evaluación sumativa M2; Rúbrica P2; Análisis de caso C2; Evaluación final integradora</t>
  </si>
  <si>
    <t>M2-AE4</t>
  </si>
  <si>
    <t>Resolución de problemas con datos de práctica</t>
  </si>
  <si>
    <t>Rise: Rise M2-T4 · Planillas de cálculo con IA; Foro M2; C2 (Caso de aplicación)</t>
  </si>
  <si>
    <t>R006</t>
  </si>
  <si>
    <t>C1 Genera una fórmula correcta para el problema planteado. C2 Comprueba el resultado con datos de prueba y corrige errores.</t>
  </si>
  <si>
    <t>Quiz formativo M2-AE4; Evaluación sumativa M2; Análisis de caso C2; Evaluación final integradora</t>
  </si>
  <si>
    <t>Quiz formativo M1-AE2 · Prompts efectivos</t>
  </si>
  <si>
    <t>M3-AE1</t>
  </si>
  <si>
    <t>Planillas de cálculo con IA</t>
  </si>
  <si>
    <t>Resolver análisis en planillas de cálculo con fórmulas generadas por IA, verificando su exactitud.</t>
  </si>
  <si>
    <t>Fórmulas y funciones básicas; cómo pedir fórmulas a la IA; verificación con datos de prueba.</t>
  </si>
  <si>
    <t>Generar, aplicar y comprobar fórmulas, filtros y tablas con apoyo de IA en Sheets o Excel.</t>
  </si>
  <si>
    <t>Rigor numérico; desconfianza metódica ante resultados no comprobados.</t>
  </si>
  <si>
    <t>R007</t>
  </si>
  <si>
    <t>Rise M2-T4 · Planillas de cálculo con IA</t>
  </si>
  <si>
    <t>8 ítems: interpretar fórmulas, detectar errores de referencia o de lógica</t>
  </si>
  <si>
    <t>Práctica guiada con herramientas</t>
  </si>
  <si>
    <t>Rise: Rise M3-T1 · Herramientas de IA para investigar; Foro M3; P3 (Hito proyecto)</t>
  </si>
  <si>
    <t>C1 Formula preguntas de investigación específicas. C2 Usa al menos 2 herramientas y registra las fuentes con su cita.</t>
  </si>
  <si>
    <t>Quiz formativo M3-AE1; Evaluación sumativa M3; Rúbrica P3; Evaluación final integradora</t>
  </si>
  <si>
    <t>R008</t>
  </si>
  <si>
    <t>M3-AE2</t>
  </si>
  <si>
    <t>Quiz formativo M1-AE3 · Parámetros de generación</t>
  </si>
  <si>
    <t>Analizar</t>
  </si>
  <si>
    <t>Análisis de fuentes con casos reales</t>
  </si>
  <si>
    <t>Rise: Rise M3-T2 · Recopilar, validar y sintetizar; Foro M3; C1 (Caso de aplicación)</t>
  </si>
  <si>
    <t>C1 Aplica criterios de confiabilidad (autoría, fecha, respaldo). C2 Sintetiza hallazgos contrastados sin afirmaciones sin respaldo.</t>
  </si>
  <si>
    <t>R009</t>
  </si>
  <si>
    <t>Quiz formativo M3-AE2; Evaluación sumativa M3; Análisis de caso C1; Evaluación final integradora</t>
  </si>
  <si>
    <t>M3-AE3</t>
  </si>
  <si>
    <t>Acelerar la investigación y el análisis de información con herramientas de IA, validando fuentes y resguardando la privacidad, para apoyar decisiones laborales.</t>
  </si>
  <si>
    <t>Herramientas de IA para investigar</t>
  </si>
  <si>
    <t>Utilizar herramientas de IA para investigar (buscadores con citas, asistentes sobre fuentes propias) y levantar información sobre un problema de su sector.</t>
  </si>
  <si>
    <t>Contenido visual, sonoro y audiovisual</t>
  </si>
  <si>
    <t>R010</t>
  </si>
  <si>
    <t>Tipos de herramientas de investigación con IA; búsqueda con citas; trabajo sobre documentos propios.</t>
  </si>
  <si>
    <t>Plantear preguntas de investigación y levantar información con al menos dos herramientas distintas.</t>
  </si>
  <si>
    <t>Curiosidad y autonomía en la búsqueda.</t>
  </si>
  <si>
    <t>Rise M3-T1 · Herramientas de IA para investigar</t>
  </si>
  <si>
    <t>Taller práctico (producto)</t>
  </si>
  <si>
    <t>Rise: Rise M3-T3 · Organizar y presentar información; Foro M3; P3 (Hito proyecto)</t>
  </si>
  <si>
    <t>C1 Organiza el informe con una estructura definida. C2 Cita todas las fuentes y formula recomendaciones.</t>
  </si>
  <si>
    <t>Quiz formativo M1-AE4 · Validación de resultados</t>
  </si>
  <si>
    <t>Quiz formativo M3-AE3; Evaluación sumativa M3; Rúbrica P3; Evaluación final integradora</t>
  </si>
  <si>
    <t>8 ítems: elegir herramienta según necesidad, formular buenas preguntas</t>
  </si>
  <si>
    <t>M3-AE4</t>
  </si>
  <si>
    <t>R011</t>
  </si>
  <si>
    <t>Hito proyecto</t>
  </si>
  <si>
    <t>Proyecto aplicado · Hito 1: problema u oportunidad real + biblioteca de prompts v1</t>
  </si>
  <si>
    <t>M1-AE1; M1-AE2</t>
  </si>
  <si>
    <t>Aprendizaje basado en casos reales (incidentes documentados)</t>
  </si>
  <si>
    <t>Rise: Rise M3-T4 · Análisis crítico y privacidad; Foro M3; C1 (Caso de aplicación); C2 (Caso de aplicación)</t>
  </si>
  <si>
    <t>C1 Clasifica la información según su sensibilidad. C2 Decide con fundamento qué puede ingresar a una herramienta de IA y propone una práctica segura.</t>
  </si>
  <si>
    <t>Quiz formativo M3-AE4; Evaluación sumativa M3; Análisis de caso C1; Análisis de caso C2; Evaluación final integradora</t>
  </si>
  <si>
    <t>Rise + actividad (caso) / entrega con rúbrica (hito)</t>
  </si>
  <si>
    <t>R012</t>
  </si>
  <si>
    <t>Caso de aplicación</t>
  </si>
  <si>
    <t>M4-AE1</t>
  </si>
  <si>
    <t>Caso M1-C1 · Asistente de IA para asesores financieros (Morgan Stanley)</t>
  </si>
  <si>
    <t>M1-AE2; M1-AE3</t>
  </si>
  <si>
    <t>R013</t>
  </si>
  <si>
    <t>Caso M1-C2 · Cuando la IA inventa: abogados y jurisprudencia inexistente (Mata v. Avianca, 2023) y chatbot de Air Canada (2024)</t>
  </si>
  <si>
    <t>Recopilar, validar y sintetizar</t>
  </si>
  <si>
    <t>Contrastar y sintetizar información de múltiples fuentes aplicando criterios de confiabilidad.</t>
  </si>
  <si>
    <t>Criterios de confiabilidad (autoría, fecha, respaldo); triangulación; técnicas de síntesis.</t>
  </si>
  <si>
    <t>Contrastar hallazgos entre fuentes, descartar los no respaldados y sintetizar lo verificado.</t>
  </si>
  <si>
    <t>Honestidad intelectual; respeto por la autoría.</t>
  </si>
  <si>
    <t>Rise M3-T2 · Recopilar, validar y sintetizar</t>
  </si>
  <si>
    <t>8 ítems: evaluar confiabilidad de fuentes, identificar contradicciones</t>
  </si>
  <si>
    <t>R014</t>
  </si>
  <si>
    <t>Foro</t>
  </si>
  <si>
    <t>Foro M1: discusión guiada del módulo (tutor responde en &lt;24 h hábiles)</t>
  </si>
  <si>
    <t>M1-AE1; M1-AE2; M1-AE3; M1-AE4</t>
  </si>
  <si>
    <t>Análisis comparativo con caso real</t>
  </si>
  <si>
    <t>Rise: Rise M4-T1 · Ecosistema multimedia con IA; Foro M4; C3 (Caso de aplicación)</t>
  </si>
  <si>
    <t>C1 Compara herramientas según el tipo de pieza. C2 Interpreta licencias y condiciones de uso de la herramienta elegida.</t>
  </si>
  <si>
    <t>Quiz formativo M4-AE1; Evaluación sumativa M4; Análisis de caso C3; Evaluación final integradora</t>
  </si>
  <si>
    <t>Foro Moodle</t>
  </si>
  <si>
    <t>R015</t>
  </si>
  <si>
    <t>Video de resumen M1 (3 min): ideas clave y conexión con el siguiente módulo</t>
  </si>
  <si>
    <t>M4-AE2</t>
  </si>
  <si>
    <t>R016</t>
  </si>
  <si>
    <t>Resumen y glosario</t>
  </si>
  <si>
    <t>Resumen y glosario del módulo M1 (página; lectura 1,5 min)</t>
  </si>
  <si>
    <t>Laboratorio creativo guiado (producto)</t>
  </si>
  <si>
    <t>Rise: Rise M4-T2 · Imágenes y gráficos; Foro M4; P4 (Hito proyecto); C1 (Caso de aplicación)</t>
  </si>
  <si>
    <t>C1 Produce piezas coherentes con el mensaje de campaña. C2 Identifica y corrige sesgos o defectos visuales.</t>
  </si>
  <si>
    <t>Quiz formativo M4-AE2; Evaluación sumativa M4; Rúbrica P4; Análisis de caso C1; Evaluación final integradora</t>
  </si>
  <si>
    <t>Página Moodle</t>
  </si>
  <si>
    <t>Automatización de tareas repetitivas</t>
  </si>
  <si>
    <t>Organizar y presentar información</t>
  </si>
  <si>
    <t>Organizar y presentar hallazgos en un informe breve con fuentes citadas y mensajes clave.</t>
  </si>
  <si>
    <t>R017</t>
  </si>
  <si>
    <t>Estructura de un informe breve; citación de fuentes; visualización simple de datos.</t>
  </si>
  <si>
    <t>M4-AE3</t>
  </si>
  <si>
    <t>Elaborar un informe breve de 1–2 páginas con hallazgos, fuentes y recomendaciones.</t>
  </si>
  <si>
    <t>Claridad y orden en la comunicación de resultados.</t>
  </si>
  <si>
    <t>Rise M3-T3 · Organizar y presentar información</t>
  </si>
  <si>
    <t>Complemento</t>
  </si>
  <si>
    <t>Infografía M1: Anatomía de un prompt efectivo (rol · contexto · tarea · formato)</t>
  </si>
  <si>
    <t>Infografía (imagen)</t>
  </si>
  <si>
    <t>8 ítems: ordenar estructura del informe, corregir citas incompletas</t>
  </si>
  <si>
    <t>R018</t>
  </si>
  <si>
    <t>Evaluación sumativa</t>
  </si>
  <si>
    <t>Evaluación sumativa M1</t>
  </si>
  <si>
    <t>Laboratorio guiado con caso real</t>
  </si>
  <si>
    <t>Rise: Rise M4-T3 · Audio y música; Foro M4; C2 (Caso de aplicación)</t>
  </si>
  <si>
    <t>C1 Genera locución y pista adecuadas al uso. C2 Verifica derechos y consentimiento.</t>
  </si>
  <si>
    <t>Quiz formativo M4-AE3; Evaluación sumativa M4; Análisis de caso C2; Evaluación final integradora</t>
  </si>
  <si>
    <t>Cuestionario Moodle con retroalimentación automática</t>
  </si>
  <si>
    <t>R019</t>
  </si>
  <si>
    <t>M4-AE4</t>
  </si>
  <si>
    <t>Video de bienvenida M2 (3 min): qué aprenderás, cómo se evalúa, hito del proyecto</t>
  </si>
  <si>
    <t>Crear</t>
  </si>
  <si>
    <t>Proyecto breve guiado (producto)</t>
  </si>
  <si>
    <t>Rise: Rise M4-T4 · Clips y video breve; Foro M4; P4 (Hito proyecto); C1 (Caso de aplicación)</t>
  </si>
  <si>
    <t>C1 Entrega un clip de 60 s que integra guion, voz, música e imagen. C2 Completa la ficha de uso ético.</t>
  </si>
  <si>
    <t>Quiz formativo M4-AE4; Evaluación sumativa M4; Rúbrica P4; Análisis de caso C1; Evaluación final integradora</t>
  </si>
  <si>
    <t>M5-AE1</t>
  </si>
  <si>
    <t>R020</t>
  </si>
  <si>
    <t>Análisis crítico y privacidad</t>
  </si>
  <si>
    <t>Evaluar críticamente los resultados de la IA y los riesgos de privacidad al usar información laboral, proponiendo prácticas de uso seguro.</t>
  </si>
  <si>
    <t>Sesgos, trazabilidad y límites; datos personales y confidenciales; Ley 19.628 y políticas internas; buenas prácticas de uso seguro.</t>
  </si>
  <si>
    <t>Clasificar información según sensibilidad y decidir qué puede ingresar a una herramienta de IA.</t>
  </si>
  <si>
    <t>Responsabilidad y ética en el tratamiento de la información; confidencialidad.</t>
  </si>
  <si>
    <t>Rise M3-T4 · Análisis crítico y privacidad</t>
  </si>
  <si>
    <t>8 ítems: clasificar datos por sensibilidad, decidir ante escenarios</t>
  </si>
  <si>
    <t>Análisis de procesos con caso real</t>
  </si>
  <si>
    <t>Rise: Rise M5-T1 · Potencial de automatización; Foro M5; C1 (Caso de aplicación); C2 (Caso de aplicación)</t>
  </si>
  <si>
    <t>C1 Identifica al menos 3 tareas automatizables de un cargo. C2 Las prioriza con una matriz impacto–riesgo y fundamenta.</t>
  </si>
  <si>
    <t>Quiz formativo M5-AE1; Evaluación sumativa M5; Análisis de caso C1; Análisis de caso C2; Evaluación final integradora</t>
  </si>
  <si>
    <t>R021</t>
  </si>
  <si>
    <t>Quiz formativo M2-AE1 · Redacción y comunicación con IA</t>
  </si>
  <si>
    <t>M5-AE2</t>
  </si>
  <si>
    <t>R022</t>
  </si>
  <si>
    <t>Laboratorio guiado paso a paso (producto)</t>
  </si>
  <si>
    <t>Rise: Rise M5-T2 · Flujos simples con IA; Foro M5; P5 (Hito proyecto)</t>
  </si>
  <si>
    <t>C1 Construye un flujo funcional de 3 a 5 pasos. C2 Prueba el flujo y corrige fallas.</t>
  </si>
  <si>
    <t>Quiz formativo M5-AE2; Evaluación sumativa M5; Rúbrica P5; Evaluación final integradora</t>
  </si>
  <si>
    <t>M5-AE3</t>
  </si>
  <si>
    <t>R023</t>
  </si>
  <si>
    <t>Quiz formativo M2-AE2 · Prompting avanzado para textos</t>
  </si>
  <si>
    <t>Taller de IA generativa para entornos laborales</t>
  </si>
  <si>
    <t>Aprendizaje basado en casos reales</t>
  </si>
  <si>
    <t>Rise: Rise M5-T3 · Supervisión humana y riesgos; Foro M5; P5 (Hito proyecto); C1 (Caso de aplicación); C2 (Caso de aplicación)</t>
  </si>
  <si>
    <t>C1 Define puntos de control humano según el riesgo. C2 Elabora un plan de contingencia para el flujo.</t>
  </si>
  <si>
    <t>Quiz formativo M5-AE3; Evaluación sumativa M5; Rúbrica P5; Análisis de caso C1; Análisis de caso C2; Evaluación final integradora</t>
  </si>
  <si>
    <t>R024</t>
  </si>
  <si>
    <t>M6-AE1</t>
  </si>
  <si>
    <t>R025</t>
  </si>
  <si>
    <t>Producir contenido visual, sonoro y audiovisual con IA generativa, respetando licencias, atribución y criterios éticos, para piezas de comunicación laboral.</t>
  </si>
  <si>
    <t>Ecosistema multimedia con IA</t>
  </si>
  <si>
    <t>Seleccionar herramientas de IA para contenido multimedia según el tipo de pieza, sus licencias y sus riesgos de uso.</t>
  </si>
  <si>
    <t>Quiz formativo M2-AE3 · Presentaciones con IA</t>
  </si>
  <si>
    <t>Panorama de herramientas de imagen, audio y video; licencias y términos de uso; atribución; riesgos legales y reputacionales.</t>
  </si>
  <si>
    <t>Comparar herramientas según objetivo y condiciones de uso; completar una ficha de uso ético.</t>
  </si>
  <si>
    <t>Respeto por la propiedad intelectual y la autoría.</t>
  </si>
  <si>
    <t>Proyecto aplicado con retroalimentación del tutor</t>
  </si>
  <si>
    <t>Rise: Rise M6-T1 · Oportunidad de mejora con IA; Foro M6; P6a (Hito proyecto)</t>
  </si>
  <si>
    <t>Rise M4-T1 · Ecosistema multimedia con IA</t>
  </si>
  <si>
    <t>C1 Define situación inicial, meta e indicadores medibles. C2 Justifica la viabilidad de usar IA.</t>
  </si>
  <si>
    <t>Quiz formativo M6-AE1; Evaluación sumativa M6; Rúbrica P6a; Evaluación final integradora</t>
  </si>
  <si>
    <t>8 ítems: interpretar licencias, elegir herramienta según uso</t>
  </si>
  <si>
    <t>R026</t>
  </si>
  <si>
    <t>M6-AE2</t>
  </si>
  <si>
    <t>R027</t>
  </si>
  <si>
    <t>Quiz formativo M2-AE4 · Planillas de cálculo con IA</t>
  </si>
  <si>
    <t>Rise: Rise M6-T2 · Implementar el flujo; Foro M6; P6b (Hito proyecto)</t>
  </si>
  <si>
    <t>C1 Implementa el flujo con supervisión humana. C2 Documenta decisiones y ajustes.</t>
  </si>
  <si>
    <t>Quiz formativo M6-AE2; Evaluación sumativa M6; Rúbrica P6b; Evaluación final integradora</t>
  </si>
  <si>
    <t>R028</t>
  </si>
  <si>
    <t>Proyecto aplicado · Hito 2: brief del proyecto + presentación de 6 láminas</t>
  </si>
  <si>
    <t>M6-AE3</t>
  </si>
  <si>
    <t>M2-AE1; M2-AE3</t>
  </si>
  <si>
    <t>Imágenes y gráficos</t>
  </si>
  <si>
    <t>Producir imágenes y gráficos con IA para una campaña interna, aplicando criterios de diseño y uso ético.</t>
  </si>
  <si>
    <t>Prompts visuales (composición, estilo, luz); criterios de diseño básico; sesgos visuales.</t>
  </si>
  <si>
    <t>Generar, iterar y seleccionar piezas gráficas coherentes con un mensaje de campaña.</t>
  </si>
  <si>
    <t>R029</t>
  </si>
  <si>
    <t>Sensibilidad estética; cuidado de la representación de las personas.</t>
  </si>
  <si>
    <t>Rise M4-T2 · Imágenes y gráficos</t>
  </si>
  <si>
    <t>Rise: Rise M6-T3 · Resultados y aprendizajes; Foro M6; P6c (Hito proyecto); P6d (Hito proyecto)</t>
  </si>
  <si>
    <t>C1 Compara los resultados con la línea base. C2 Comunica resultados y límites con claridad en un pitch de 3 minutos.</t>
  </si>
  <si>
    <t>Caso M2-C1 · Comunicación con clientes redactada con apoyo de IA (Octopus Energy)</t>
  </si>
  <si>
    <t>M2-AE1; M2-AE2</t>
  </si>
  <si>
    <t>Quiz formativo M6-AE3; Evaluación sumativa M6; Rúbrica P6c; Rúbrica P6d; Evaluación final integradora</t>
  </si>
  <si>
    <t>8 ítems: leer prompts visuales, detectar sesgos y defectos en piezas</t>
  </si>
  <si>
    <t>R030</t>
  </si>
  <si>
    <t>Caso M2-C2 · Asistente de IA en herramientas de oficina para equipos (Vodafone y Microsoft 365 Copilot)</t>
  </si>
  <si>
    <t>M2-AE3; M2-AE4</t>
  </si>
  <si>
    <t>Total</t>
  </si>
  <si>
    <t>R031</t>
  </si>
  <si>
    <t>Foro M2: discusión guiada del módulo (tutor responde en &lt;24 h hábiles)</t>
  </si>
  <si>
    <t>M2-AE1; M2-AE2; M2-AE3; M2-AE4</t>
  </si>
  <si>
    <t>R032</t>
  </si>
  <si>
    <t>Video de resumen M2 (3 min): ideas clave y conexión con el siguiente módulo</t>
  </si>
  <si>
    <t>Audio y música</t>
  </si>
  <si>
    <t>Generar audio, voz y música con IA para una pieza de comunicación, cuidando derechos de voz y atribución.</t>
  </si>
  <si>
    <t>Síntesis de voz y música generativa; derechos de imagen y voz; consentimiento.</t>
  </si>
  <si>
    <t>Producir una locución y una pista musical con IA y verificar condiciones de uso.</t>
  </si>
  <si>
    <t>Consentimiento y respeto por la identidad de las personas.</t>
  </si>
  <si>
    <t>Rise M4-T3 · Audio y música</t>
  </si>
  <si>
    <t>R033</t>
  </si>
  <si>
    <t>8 ítems: decidir cuándo se requiere consentimiento, elegir voz/pista según uso</t>
  </si>
  <si>
    <t>Resumen y glosario del módulo M2 (página; lectura 1,5 min)</t>
  </si>
  <si>
    <t>R034</t>
  </si>
  <si>
    <t>Infografía M2: Flujo de redacción aumentada (borrador → ajuste → verificación)</t>
  </si>
  <si>
    <t>R035</t>
  </si>
  <si>
    <t>Evaluación sumativa M2</t>
  </si>
  <si>
    <t>R036</t>
  </si>
  <si>
    <t>Video de bienvenida M3 (3 min): qué aprenderás, cómo se evalúa, hito del proyecto</t>
  </si>
  <si>
    <t>Distribución del tiempo por tipo de actividad (total curso)</t>
  </si>
  <si>
    <t>Clips y video breve</t>
  </si>
  <si>
    <t>Elaborar un clip de 60 segundos que integre guion, voz, música e imagen generados con IA.</t>
  </si>
  <si>
    <t>Estructura de un guion breve; herramientas de video generativo; ensamblaje y exportación.</t>
  </si>
  <si>
    <t>Horas</t>
  </si>
  <si>
    <t>Guionizar, ensamblar y exportar un clip de 60 segundos con ficha de uso ético.</t>
  </si>
  <si>
    <t>% del total</t>
  </si>
  <si>
    <t>Creatividad responsable; cuidado del detalle.</t>
  </si>
  <si>
    <t>R037</t>
  </si>
  <si>
    <t>Rise M4-T4 · Clips y video breve</t>
  </si>
  <si>
    <t>8 ítems: ordenar etapas de producción, corregir guion y ficha de uso</t>
  </si>
  <si>
    <t>R038</t>
  </si>
  <si>
    <t>Quiz formativo M3-AE1 · Herramientas de IA para investigar</t>
  </si>
  <si>
    <t>R039</t>
  </si>
  <si>
    <t>R040</t>
  </si>
  <si>
    <t>Quiz formativo M3-AE2 · Recopilar, validar y sintetizar</t>
  </si>
  <si>
    <t>Automatizar tareas rutinarias mediante flujos simples con IA, incorporando supervisión humana y control de riesgos, en el trabajo cotidiano.</t>
  </si>
  <si>
    <t>Potencial de automatización</t>
  </si>
  <si>
    <t>Identificar tareas repetitivas con potencial de automatización, priorizándolas según impacto y riesgo.</t>
  </si>
  <si>
    <t>Anatomía de una tarea automatizable; criterios de impacto, frecuencia y riesgo; matriz de priorización.</t>
  </si>
  <si>
    <t>Mapear las tareas de un cargo (el que ejerce o al que aspira) y priorizar candidatas con una matriz impacto–riesgo.</t>
  </si>
  <si>
    <t>Mirada analítica sobre el propio trabajo; enfoque en el valor para las personas.</t>
  </si>
  <si>
    <t>Rise M5-T1 · Potencial de automatización</t>
  </si>
  <si>
    <t>R041</t>
  </si>
  <si>
    <t>8 ítems: clasificar tareas según impacto/riesgo</t>
  </si>
  <si>
    <t>R042</t>
  </si>
  <si>
    <t>Quiz formativo M3-AE3 · Organizar y presentar información</t>
  </si>
  <si>
    <t>R043</t>
  </si>
  <si>
    <t>Flujos simples con IA</t>
  </si>
  <si>
    <t>Construir un flujo simple con una herramienta no-code que conecte IA con correo, planillas o calendario.</t>
  </si>
  <si>
    <t>Conceptos de disparador–acción–datos; herramientas no-code; conexión de servicios; pruebas de un flujo.</t>
  </si>
  <si>
    <t>Diseñar, construir y probar un flujo automatizado de 3 a 5 pasos.</t>
  </si>
  <si>
    <t>Autonomía y prolijidad técnica; disposición a probar y corregir.</t>
  </si>
  <si>
    <t>R044</t>
  </si>
  <si>
    <t>Rise M5-T2 · Flujos simples con IA</t>
  </si>
  <si>
    <t>Quiz formativo M3-AE4 · Análisis crítico y privacidad</t>
  </si>
  <si>
    <t>8 ítems: ordenar pasos del flujo, detectar error en una configuración</t>
  </si>
  <si>
    <t>R045</t>
  </si>
  <si>
    <t>Proyecto aplicado · Hito 3: investigación validada con fuentes (informe breve)</t>
  </si>
  <si>
    <t>M3-AE1; M3-AE3</t>
  </si>
  <si>
    <t>R046</t>
  </si>
  <si>
    <t>Caso M3-C1 · Informe con referencias inexistentes generadas por IA (Deloitte Australia, 2025)</t>
  </si>
  <si>
    <t>M3-AE2; M3-AE4</t>
  </si>
  <si>
    <t>R047</t>
  </si>
  <si>
    <t>Supervisión humana y riesgos</t>
  </si>
  <si>
    <t>Incorporar puntos de supervisión humana y controles de riesgo en un flujo automatizado, evaluando su efecto.</t>
  </si>
  <si>
    <t>Caso M3-C2 · Información confidencial ingresada a una herramienta de IA (Samsung, 2023)</t>
  </si>
  <si>
    <t>Riesgos de automatizar (errores en cadena, privacidad, sesgos); supervisión humana; registro y reversibilidad.</t>
  </si>
  <si>
    <t>Definir puntos de control, criterios de aprobación humana y plan de contingencia para un flujo.</t>
  </si>
  <si>
    <t>Responsabilidad sobre las decisiones automatizadas; prudencia.</t>
  </si>
  <si>
    <t>Rise M5-T3 · Supervisión humana y riesgos</t>
  </si>
  <si>
    <t>8 ítems: decidir dónde ubicar controles humanos según el riesgo</t>
  </si>
  <si>
    <t>R048</t>
  </si>
  <si>
    <t>Foro M3: discusión guiada del módulo (tutor responde en &lt;24 h hábiles)</t>
  </si>
  <si>
    <t>M3-AE1; M3-AE2; M3-AE3; M3-AE4</t>
  </si>
  <si>
    <t>Lectura: el tiempo se reparte entre estudio en Rise (≈48%) y aplicación con casos e hitos del proyecto (≈34%); el resto son quizzes, foros, videos y evaluaciones. El desglose suma exactamente las 88 h.</t>
  </si>
  <si>
    <t>R049</t>
  </si>
  <si>
    <t>Video de resumen M3 (3 min): ideas clave y conexión con el siguiente módulo</t>
  </si>
  <si>
    <t>R050</t>
  </si>
  <si>
    <t>Resumen y glosario del módulo M3 (página; lectura 1,5 min)</t>
  </si>
  <si>
    <t>R051</t>
  </si>
  <si>
    <t>Aplicar la IA generativa en un proyecto basado en un desafío laboral real, midiendo resultados y comunicándolos, integrando lo aprendido en los módulos anteriores.</t>
  </si>
  <si>
    <t>Infografía M3: Ruta de una investigación verificada (buscar · contrastar · sintetizar · citar)</t>
  </si>
  <si>
    <t>Oportunidad de mejora con IA</t>
  </si>
  <si>
    <t>Diagnosticar una oportunidad de mejora en un contexto laboral real (su cargo actual o uno al que aspira) que pueda abordarse con IA, definiendo situación inicial y metas.</t>
  </si>
  <si>
    <t>Diagnóstico de situación actual; definición de meta e indicadores; criterios de viabilidad.</t>
  </si>
  <si>
    <t>Redactar el diagnóstico, la meta y el plan de medición del proyecto aplicado.</t>
  </si>
  <si>
    <t>Orientación a resultados; realismo al fijar metas.</t>
  </si>
  <si>
    <t>R052</t>
  </si>
  <si>
    <t>Rise M6-T1 · Oportunidad de mejora con IA</t>
  </si>
  <si>
    <t>Evaluación sumativa M3</t>
  </si>
  <si>
    <t>8 ítems: formular metas medibles, elegir indicadores</t>
  </si>
  <si>
    <t>R053</t>
  </si>
  <si>
    <t>Video de bienvenida M4 (3 min): qué aprenderás, cómo se evalúa, hito del proyecto</t>
  </si>
  <si>
    <t>R054</t>
  </si>
  <si>
    <t>R055</t>
  </si>
  <si>
    <t>Quiz formativo M4-AE1 · Ecosistema multimedia con IA</t>
  </si>
  <si>
    <t>Implementar el flujo</t>
  </si>
  <si>
    <t>Implementar un flujo de trabajo con IA para la oportunidad priorizada, con supervisión humana y registro de decisiones.</t>
  </si>
  <si>
    <t>Planificación de implementación; gestión de cambios y riesgos; documentación del flujo.</t>
  </si>
  <si>
    <t>Implementar y documentar el flujo del proyecto aplicado, ajustándolo según pruebas.</t>
  </si>
  <si>
    <t>Autonomía; constancia; trabajo prolijo.</t>
  </si>
  <si>
    <t>Rise M6-T2 · Implementar el flujo</t>
  </si>
  <si>
    <t>R056</t>
  </si>
  <si>
    <t>8 ítems: ordenar etapas de implementación, detectar riesgos no controlados</t>
  </si>
  <si>
    <t>Casos de aplicación e hitos del proyecto incremental</t>
  </si>
  <si>
    <t>R057</t>
  </si>
  <si>
    <t>Casos con empresas reales (candidatos por verificar) y el proyecto que crece módulo a módulo hasta el pitch final.</t>
  </si>
  <si>
    <t>Quiz formativo M4-AE2 · Imágenes y gráficos</t>
  </si>
  <si>
    <t>Título</t>
  </si>
  <si>
    <t>AE</t>
  </si>
  <si>
    <t>Descripción / qué documentar</t>
  </si>
  <si>
    <t>Fuente primaria (URL, fecha)</t>
  </si>
  <si>
    <t>Estado de verificación</t>
  </si>
  <si>
    <t>Entregable</t>
  </si>
  <si>
    <t>Retroalimentación tutor</t>
  </si>
  <si>
    <t>Resultados y aprendizajes</t>
  </si>
  <si>
    <t>Evaluar los resultados del proyecto y comunicarlos mediante un pitch y un portafolio, proponiendo mejoras.</t>
  </si>
  <si>
    <t>M1-P1</t>
  </si>
  <si>
    <t>Medición de resultados; storytelling de resultados; estructura de pitch y portafolio.</t>
  </si>
  <si>
    <t>Medir resultados contra la línea base, elaborar el pitch y el portafolio, y proponer mejoras.</t>
  </si>
  <si>
    <t>Autocrítica constructiva; comunicación honesta de resultados, incluidos los límites.</t>
  </si>
  <si>
    <t>Rise M6-T3 · Resultados y aprendizajes</t>
  </si>
  <si>
    <t>R058</t>
  </si>
  <si>
    <t>Cada participante elige un desafío laboral real: una tarea de un cargo que ejerce o al que aspira (tomada de una oferta real) y arma su primera biblioteca de prompts para resolverla. Entregable con retroalimentación del tutor (≤72 h).</t>
  </si>
  <si>
    <t>8 ítems: interpretar resultados, ordenar estructura de un pitch</t>
  </si>
  <si>
    <t>No aplica</t>
  </si>
  <si>
    <t>R059</t>
  </si>
  <si>
    <t>Entrega con rúbrica general (ver «Evaluación»)</t>
  </si>
  <si>
    <t>≤72 h (hábiles a definir)</t>
  </si>
  <si>
    <t>Quiz formativo M4-AE3 · Audio y música</t>
  </si>
  <si>
    <t>M1-C1</t>
  </si>
  <si>
    <t>Candidato. Documentar: qué prompts/instrucciones se usan, qué fuentes consulta el asistente, cómo se controla la calidad. POR VERIFICAR en fuente primaria (comunicados de la empresa y de OpenAI).</t>
  </si>
  <si>
    <t>Por verificar</t>
  </si>
  <si>
    <t>Actividad de análisis del caso: preguntas guiadas + aplicación al proyecto (1,5 h)</t>
  </si>
  <si>
    <t>Autocorrección + foro</t>
  </si>
  <si>
    <t>M1-C2</t>
  </si>
  <si>
    <t>R060</t>
  </si>
  <si>
    <t>Candidato. Documentar: qué se verificó o no, consecuencias. POR VERIFICAR en fuente primaria (resoluciones judiciales / del tribunal).</t>
  </si>
  <si>
    <t>M2-P2</t>
  </si>
  <si>
    <t>El problema del Hito 1 se convierte en un brief (objetivo, audiencia, mensaje) y una presentación de 6 láminas con IA. Retroalimentación del tutor (≤72 h).</t>
  </si>
  <si>
    <t>R061</t>
  </si>
  <si>
    <t>Quiz formativo M4-AE4 · Clips y video breve</t>
  </si>
  <si>
    <t>M2-C1</t>
  </si>
  <si>
    <t>Candidato. Documentar el uso de IA para respuestas a clientes y cómo se supervisa. POR VERIFICAR en fuente primaria/prensa de calidad, con fecha.</t>
  </si>
  <si>
    <t>R062</t>
  </si>
  <si>
    <t>M2-C2</t>
  </si>
  <si>
    <t>Candidato. Documentar tareas de oficina asistidas (documentos, presentaciones, planillas). POR VERIFICAR: no usar cifras sin fuente primaria.</t>
  </si>
  <si>
    <t>Proyecto aplicado · Hito 4: pieza multimedia que comunica la solución</t>
  </si>
  <si>
    <t>M4-AE2; M4-AE4</t>
  </si>
  <si>
    <t>M3-P3</t>
  </si>
  <si>
    <t>R063</t>
  </si>
  <si>
    <t>Investigación sobre el problema del proyecto con fuentes contrastadas y citadas. Retroalimentación del tutor (≤72 h).</t>
  </si>
  <si>
    <t>Caso M4-C1 · Campañas de marca hechas con IA generativa (Coca-Cola, 2023 y 2024)</t>
  </si>
  <si>
    <t>M3-C1</t>
  </si>
  <si>
    <t>Candidato. Documentar qué falló en la validación de fuentes y qué medidas se tomaron. POR VERIFICAR en fuente primaria (prensa de calidad y comunicado oficial).</t>
  </si>
  <si>
    <t>M3-C2</t>
  </si>
  <si>
    <t>R064</t>
  </si>
  <si>
    <t>Candidato. Documentar el incidente y las políticas posteriores. POR VERIFICAR en fuente primaria.</t>
  </si>
  <si>
    <t>Caso M4-C2 · Voz sintética y consentimiento (disputa Scarlett Johansson – OpenAI, 2024)</t>
  </si>
  <si>
    <t>M4-P4</t>
  </si>
  <si>
    <t>Pieza visual, sonora o audiovisual (con ficha de uso ético) que comunica la propuesta del proyecto. Retroalimentación del tutor (≤72 h).</t>
  </si>
  <si>
    <t>M4-C1</t>
  </si>
  <si>
    <t>R065</t>
  </si>
  <si>
    <t>Candidato. Documentar proceso, herramientas y reacciones del público. POR VERIFICAR en fuentes primarias y de prensa.</t>
  </si>
  <si>
    <t>Caso M4-C3 · Licencias y datos de entrenamiento (Getty Images v. Stability AI)</t>
  </si>
  <si>
    <t>M4-C2</t>
  </si>
  <si>
    <t>Candidato. Documentar la disputa y la decisión de la empresa. POR VERIFICAR en fuente primaria.</t>
  </si>
  <si>
    <t>M4-C3</t>
  </si>
  <si>
    <t>R066</t>
  </si>
  <si>
    <t>Candidato. Documentar el estado del litigio a la fecha de producción. POR VERIFICAR: es un caso en evolución.</t>
  </si>
  <si>
    <t>Foro M4: discusión guiada del módulo (tutor responde en &lt;24 h hábiles)</t>
  </si>
  <si>
    <t>M4-AE1; M4-AE2; M4-AE3; M4-AE4</t>
  </si>
  <si>
    <t>M5-P5</t>
  </si>
  <si>
    <t>Proyecto aplicado · Hito 5: prototipo de automatización de un paso del proceso, con supervisión humana</t>
  </si>
  <si>
    <t>M5-AE2; M5-AE3</t>
  </si>
  <si>
    <t>Un paso del proceso del proyecto se automatiza con un flujo no-code supervisado. Retroalimentación del tutor (≤72 h).</t>
  </si>
  <si>
    <t>M5-C1</t>
  </si>
  <si>
    <t>R067</t>
  </si>
  <si>
    <t>Caso M5-C1 · Automatización de la atención al cliente con IA (Klarna)</t>
  </si>
  <si>
    <t>M5-AE1; M5-AE3</t>
  </si>
  <si>
    <t>Candidato. Documentar objetivos, resultados informados y ajustes posteriores de la empresa. POR VERIFICAR con fuentes primarias y fecha de cada cifra.</t>
  </si>
  <si>
    <t>Video de resumen M4 (3 min): ideas clave y conexión con el siguiente módulo</t>
  </si>
  <si>
    <t>M5-C2</t>
  </si>
  <si>
    <t>Caso M5-C2 · Estrategia «AI-first» y sus efectos sobre el trabajo (Duolingo, 2025)</t>
  </si>
  <si>
    <t>Candidato. Documentar la decisión, su comunicación y la reacción pública. POR VERIFICAR en fuente primaria.</t>
  </si>
  <si>
    <t>M6-P6a</t>
  </si>
  <si>
    <t>Proyecto aplicado · Hito 6a: diagnóstico, meta y plan de medición</t>
  </si>
  <si>
    <t>R068</t>
  </si>
  <si>
    <t>Diagnóstico, línea base e indicadores del proyecto. Retroalimentación del tutor (≤72 h).</t>
  </si>
  <si>
    <t>M6-P6b</t>
  </si>
  <si>
    <t>Resumen y glosario del módulo M4 (página; lectura 1,5 min)</t>
  </si>
  <si>
    <t>Proyecto aplicado · Hito 6b: implementación del flujo</t>
  </si>
  <si>
    <t>Flujo implementado y documentado. Retroalimentación del tutor (≤72 h).</t>
  </si>
  <si>
    <t>R069</t>
  </si>
  <si>
    <t>M6-P6c</t>
  </si>
  <si>
    <t>Proyecto aplicado · Hito 6c: medición de resultados y ajustes</t>
  </si>
  <si>
    <t>Resultados medidos contra la línea base y ajustes. Retroalimentación del tutor (≤72 h).</t>
  </si>
  <si>
    <t>Infografía M4: Mapa del ecosistema multimedia con IA y semáforo de licencias</t>
  </si>
  <si>
    <t>M6-P6d</t>
  </si>
  <si>
    <t>Proyecto aplicado · Hito 6d: pitch y portafolio final (insumo del Demo Day)</t>
  </si>
  <si>
    <t>R070</t>
  </si>
  <si>
    <t>Pitch de 3 min y portafolio. Retroalimentación del tutor (≤72 h).</t>
  </si>
  <si>
    <t>Evaluación sumativa M4</t>
  </si>
  <si>
    <t>Hilo del proyecto aplicado</t>
  </si>
  <si>
    <t>R071</t>
  </si>
  <si>
    <t>M1</t>
  </si>
  <si>
    <t>Definir el problema u oportunidad real + primera biblioteca de prompts</t>
  </si>
  <si>
    <t>Video de bienvenida M5 (3 min): qué aprenderás, cómo se evalúa, hito del proyecto</t>
  </si>
  <si>
    <t>R072</t>
  </si>
  <si>
    <t>M2</t>
  </si>
  <si>
    <t>Convertirlo en un brief y una presentación de 6 láminas</t>
  </si>
  <si>
    <t>M3</t>
  </si>
  <si>
    <t>Respaldarlo con una investigación validada con fuentes</t>
  </si>
  <si>
    <t>R073</t>
  </si>
  <si>
    <t>M4</t>
  </si>
  <si>
    <t>Comunicarlo con una pieza multimedia con ficha de uso ético</t>
  </si>
  <si>
    <t>Quiz formativo M5-AE1 · Potencial de automatización</t>
  </si>
  <si>
    <t>M5</t>
  </si>
  <si>
    <t>Automatizar un paso del proceso con supervisión humana</t>
  </si>
  <si>
    <t>M6</t>
  </si>
  <si>
    <t>Diagnosticar metas, implementar, medir y presentar (pitch + portafolio; conecta con el Demo Day)</t>
  </si>
  <si>
    <t>R074</t>
  </si>
  <si>
    <t>R075</t>
  </si>
  <si>
    <t>Quiz formativo M5-AE2 · Flujos simples con IA</t>
  </si>
  <si>
    <t>R076</t>
  </si>
  <si>
    <t>R077</t>
  </si>
  <si>
    <t>Quiz formativo M5-AE3 · Supervisión humana y riesgos</t>
  </si>
  <si>
    <t>Sistema de evaluación (propuesta inicial)</t>
  </si>
  <si>
    <t>R078</t>
  </si>
  <si>
    <t>Provisional: la norma de evaluación definitiva debe alinearse con la normativa SENCE vigente al presentar.</t>
  </si>
  <si>
    <t>Instrumento</t>
  </si>
  <si>
    <t>Cantidad</t>
  </si>
  <si>
    <t>Momento</t>
  </si>
  <si>
    <t>Retroalimentación</t>
  </si>
  <si>
    <t>Ponderación c/u</t>
  </si>
  <si>
    <t>R079</t>
  </si>
  <si>
    <t>Ponderación total</t>
  </si>
  <si>
    <t>Observación</t>
  </si>
  <si>
    <t>Evaluación diagnóstica</t>
  </si>
  <si>
    <t>Diagnóstica</t>
  </si>
  <si>
    <t>Inicio del curso (M1)</t>
  </si>
  <si>
    <t>R080</t>
  </si>
  <si>
    <t>Automática; orienta la ruta de estudio</t>
  </si>
  <si>
    <t>R081</t>
  </si>
  <si>
    <t>Foro M5: discusión guiada del módulo (tutor responde en &lt;24 h hábiles)</t>
  </si>
  <si>
    <t>M5-AE1; M5-AE2; M5-AE3</t>
  </si>
  <si>
    <t>No pondera.</t>
  </si>
  <si>
    <t>Quizzes formativos por tema</t>
  </si>
  <si>
    <t>Formativa</t>
  </si>
  <si>
    <t>Cierre de cada tema</t>
  </si>
  <si>
    <t>Automática por ítem + acción remedial (volver a pantallas específicas)</t>
  </si>
  <si>
    <t>R082</t>
  </si>
  <si>
    <t>No pondera; condiciona el avance sugerido.</t>
  </si>
  <si>
    <t>Evaluaciones sumativas M1–M5</t>
  </si>
  <si>
    <t>Video de resumen M5 (3 min): ideas clave y conexión con el siguiente módulo</t>
  </si>
  <si>
    <t>Sumativa</t>
  </si>
  <si>
    <t>Cierre de cada módulo</t>
  </si>
  <si>
    <t>Automática con retroalimentación por pregunta</t>
  </si>
  <si>
    <t>Banco de ítems con distintos tipos de pregunta.</t>
  </si>
  <si>
    <t>Hitos del proyecto M1–M5 (con rúbrica)</t>
  </si>
  <si>
    <t>Tutor, ≤72 h, con rúbrica</t>
  </si>
  <si>
    <t>R083</t>
  </si>
  <si>
    <t>Instancia obligatoria de interacción pedagógica (Ley 21.850).</t>
  </si>
  <si>
    <t>Hitos de proceso M6 (6a, 6b, 6c)</t>
  </si>
  <si>
    <t>Módulo 6</t>
  </si>
  <si>
    <t>No ponderan; alimentan el hito final.</t>
  </si>
  <si>
    <t>Pitch + portafolio final (hito 6d)</t>
  </si>
  <si>
    <t>Cierre del curso</t>
  </si>
  <si>
    <t>Resumen y glosario del módulo M5 (página; lectura 1,5 min)</t>
  </si>
  <si>
    <t>Insumo del Demo Day.</t>
  </si>
  <si>
    <t>Evaluación final integradora</t>
  </si>
  <si>
    <t>R084</t>
  </si>
  <si>
    <t>Cubre los 22 AE; varios tipos de pregunta.</t>
  </si>
  <si>
    <t>Infografía M5: Matriz impacto–riesgo para priorizar tareas a automatizar</t>
  </si>
  <si>
    <t>Total ponderación</t>
  </si>
  <si>
    <t>R085</t>
  </si>
  <si>
    <t>Evaluación sumativa M5</t>
  </si>
  <si>
    <t>R086</t>
  </si>
  <si>
    <t>Video de bienvenida M6 (3 min): qué aprenderás, cómo se evalúa, hito del proyecto</t>
  </si>
  <si>
    <t>Norma de evaluación (a confirmar)</t>
  </si>
  <si>
    <t>R087</t>
  </si>
  <si>
    <t>Escala</t>
  </si>
  <si>
    <t>1,0 a 7,0</t>
  </si>
  <si>
    <t>Nota mínima de aprobación</t>
  </si>
  <si>
    <t>4,0 (exigencia 60%) — PROVISIONAL</t>
  </si>
  <si>
    <t>R088</t>
  </si>
  <si>
    <t>Aprobación académica</t>
  </si>
  <si>
    <t>Se define por la nota final ponderada, no por el porcentaje de conectividad. El registro de participación SENCE (conectividad con Clave Única) es un requisito distinto, de ejecución.</t>
  </si>
  <si>
    <t>Quiz formativo M6-AE1 · Oportunidad de mejora con IA</t>
  </si>
  <si>
    <t>Evaluaciones que rinden</t>
  </si>
  <si>
    <t>Diagnóstica, 22 quizzes formativos, 5 sumativas de módulo, 5 hitos con rúbrica, pitch final y evaluación final integradora</t>
  </si>
  <si>
    <t>Rúbrica general de hitos del proyecto</t>
  </si>
  <si>
    <t>R089</t>
  </si>
  <si>
    <t>Criterio</t>
  </si>
  <si>
    <t>Peso</t>
  </si>
  <si>
    <t>Logrado (100%)</t>
  </si>
  <si>
    <t>Parcial (60%)</t>
  </si>
  <si>
    <t>No logrado (0%)</t>
  </si>
  <si>
    <t>Pertinencia al problema real</t>
  </si>
  <si>
    <t>El entregable resuelve con claridad el problema definido.</t>
  </si>
  <si>
    <t>Resuelve parcialmente o con ambigüedad.</t>
  </si>
  <si>
    <t>No se relaciona con el problema.</t>
  </si>
  <si>
    <t>R090</t>
  </si>
  <si>
    <t>Uso verificado de IA</t>
  </si>
  <si>
    <t>Documenta prompts y valida resultados con fuentes.</t>
  </si>
  <si>
    <t>Valida solo en parte o documenta poco.</t>
  </si>
  <si>
    <t>No valida ni documenta.</t>
  </si>
  <si>
    <t>Quiz formativo M6-AE2 · Implementar el flujo</t>
  </si>
  <si>
    <t>Calidad del entregable</t>
  </si>
  <si>
    <t>Completo, ordenado y sin errores relevantes.</t>
  </si>
  <si>
    <t>Completo con errores menores.</t>
  </si>
  <si>
    <t>Incompleto o con errores graves.</t>
  </si>
  <si>
    <t>Ética, privacidad y licencias</t>
  </si>
  <si>
    <t>Resguarda datos y respeta licencias y consentimiento.</t>
  </si>
  <si>
    <t>Cumple con omisiones menores.</t>
  </si>
  <si>
    <t>Cumplimiento de la RE 2.484 (19-10-2026) · Instructivo de solicitudes de curso FT</t>
  </si>
  <si>
    <t>Expone datos o infringe licencias.</t>
  </si>
  <si>
    <t>Comunicación</t>
  </si>
  <si>
    <t>Mensaje claro, adecuado a la audiencia.</t>
  </si>
  <si>
    <t>Mensaje comprensible pero poco ajustado.</t>
  </si>
  <si>
    <t>Cada exigencia (paráfrasis fiel del texto) cruzada con el diseño. La evaluación técnica depende del Anexo Técnico, que no está en el documento.</t>
  </si>
  <si>
    <t>Mensaje confuso.</t>
  </si>
  <si>
    <t>R091</t>
  </si>
  <si>
    <t>#</t>
  </si>
  <si>
    <t>Sección RE 2.484</t>
  </si>
  <si>
    <t>Etapa</t>
  </si>
  <si>
    <t>Exigencia</t>
  </si>
  <si>
    <t>Cómo la cubre este diseño</t>
  </si>
  <si>
    <t>Dónde verificarlo</t>
  </si>
  <si>
    <t>Verificación automática</t>
  </si>
  <si>
    <t>R092</t>
  </si>
  <si>
    <t>Riesgo</t>
  </si>
  <si>
    <t>Quiz formativo M6-AE3 · Resultados y aprendizajes</t>
  </si>
  <si>
    <t>IV.2.1 a)</t>
  </si>
  <si>
    <t>Admisibilidad legal</t>
  </si>
  <si>
    <t>La actividad tiene finalidad formativa orientada a conocimientos, habilidades o competencias ligadas al trabajo y a la empleabilidad, productividad, adaptación tecnológica o desempeño laboral.</t>
  </si>
  <si>
    <t>Competencias y AE formulados sobre tareas laborales; proyecto basado en un desafío laboral real (cargo actual o aspirado); público cesante y en actividad.</t>
  </si>
  <si>
    <t>Estructura (competencia, AE)</t>
  </si>
  <si>
    <t>R093</t>
  </si>
  <si>
    <t>Cubierto en diseño</t>
  </si>
  <si>
    <t>Bajo</t>
  </si>
  <si>
    <t>IV.2.1 b)</t>
  </si>
  <si>
    <t>Nombre, competencia, AE y contenidos no corresponden a una actividad recreativa, de esparcimiento, integración o bienestar.</t>
  </si>
  <si>
    <t>R094</t>
  </si>
  <si>
    <t>Nombre «IA generativa para entornos laborales»; AE con verbos de aplicación y condiciones laborales.</t>
  </si>
  <si>
    <t>Estructura</t>
  </si>
  <si>
    <t>IV.2.1 c)</t>
  </si>
  <si>
    <t>Hay un proceso de aprendizaje estructurado; no consiste solo en entregar o revisar contenidos de forma autónoma.</t>
  </si>
  <si>
    <t>Cada tema combina Rise + quiz; cada módulo suma casos/hitos con retroalimentación, foro y evaluación sumativa.</t>
  </si>
  <si>
    <t>Recursos (tipos Caso, Hito, Foro, Quiz)</t>
  </si>
  <si>
    <t>R095</t>
  </si>
  <si>
    <t>R096</t>
  </si>
  <si>
    <t>Medio</t>
  </si>
  <si>
    <t>IV.2.1 d)</t>
  </si>
  <si>
    <t>Pendientes y decisiones abiertas</t>
  </si>
  <si>
    <t>Qué falta para pasar de borrador a estructura definitiva.</t>
  </si>
  <si>
    <t>La actividad no es una formalidad administrativa o normativa sin propósito efectivo de aprendizaje.</t>
  </si>
  <si>
    <t>Por qué importa</t>
  </si>
  <si>
    <t>Quién</t>
  </si>
  <si>
    <t>Curso de desarrollo de competencias, sin carácter de trámite.</t>
  </si>
  <si>
    <t>R097</t>
  </si>
  <si>
    <t>Revisar la pertinencia de los 22 AE, las competencias y los contenidos con quien valide el contenido (módulos y temas de la propuesta).</t>
  </si>
  <si>
    <t>PF1823 es solo referencia; lo que importa es que cada AE sea pertinente al tema, medible y que suba en complejidad dentro del módulo.</t>
  </si>
  <si>
    <t>Foro M6: discusión guiada del módulo (tutor responde en &lt;24 h hábiles)</t>
  </si>
  <si>
    <t>M6-AE1; M6-AE2; M6-AE3</t>
  </si>
  <si>
    <t>Naty</t>
  </si>
  <si>
    <t>R098</t>
  </si>
  <si>
    <t>Video de resumen M6 (3 min): ideas clave y conexión con el siguiente módulo</t>
  </si>
  <si>
    <t>IV.2.1 e) y II.2</t>
  </si>
  <si>
    <t>Duración en horas cronológicas, mínimo 8 h, proporcional a competencias, AE, contenidos y técnicas; se debe calibrar considerando la taxonomía de Bloom y el área de la capacitación.</t>
  </si>
  <si>
    <t>88 h con distribución justificada: ≈48% estudio, ≈34% aplicación (más Bloom alto en aplicar/evaluar/crear). Ver Matriz coherencia (nivel Bloom por AE).</t>
  </si>
  <si>
    <t>Localizar fuente primaria de cada caso candidato (URL y fecha) y descartar los que no se puedan respaldar.</t>
  </si>
  <si>
    <t>Los casos deben ser reales, documentados y citados; no se usan cifras sin respaldo.</t>
  </si>
  <si>
    <t>Parámetros (horas totales); Resumen horas</t>
  </si>
  <si>
    <t>R099</t>
  </si>
  <si>
    <t>OBTENER el Anexo Técnico (criterios, indicadores, medios de verificación y estándares) y la Guía Técnica de Presentación, Revisión y Autorización que cita la RE 2.484 (IV.3 y IV.5).</t>
  </si>
  <si>
    <t>La RE 2.484 delega ahí la evaluación técnica. No vienen en el PDF de la resolución y no los encontré en sence.cl al 22-10-2026 (la página para OTEC aún lista solo documentos anteriores). Sin ellos no se puede garantizar la aprobación a la primera. Vía: sence.cl, Buzón Ciudadano o comunicación a OTEC.</t>
  </si>
  <si>
    <t>Resumen y glosario del módulo M6 (página; lectura 1,5 min)</t>
  </si>
  <si>
    <t>Decidir si la solicitud se presenta vinculada a un Plan Formativo (PF1823) o como curso independiente.</t>
  </si>
  <si>
    <t>RE 2.484 II.2.1: si deriva de un Plan Formativo, la duración queda fijada por él y SENCE verifica que las horas coincidan. Si es independiente, las 88 h deben justificarse por proporcionalidad y taxonomía de Bloom (II.2). Cambia cómo se declara la duración.</t>
  </si>
  <si>
    <t>Definir el facilitador/tutor responsable (nombre, perfil y competencias) y su carga con 100 participantes.</t>
  </si>
  <si>
    <t>R100</t>
  </si>
  <si>
    <t>RE 2.484 VI.2: el facilitador informado y autorizado NO puede modificarse ni sustituirse durante la vigencia (4 años); IV.2.1 f) y IV.3 d) exigen su presencia y competencias. Confirmar en la plataforma si se pueden declarar varios y qué ocurre ante ausencia.</t>
  </si>
  <si>
    <t>Plazos: la revisión toma hasta 20 días corridos desde la presentación y se reinicia ÍNTEGRA con cada reingreso; luego hay 20 días corridos para pagar la inscripción.</t>
  </si>
  <si>
    <t>Infografía M6: Ciclo del proyecto aplicado (oportunidad → flujo → medición → pitch)</t>
  </si>
  <si>
    <t>RE 2.484 IV.1.1 y V.1. Si se presenta el 23-oct, la respuesta llegaría hasta el 12-nov sin observaciones; una sola observación haría imposible el inicio del 23-nov. Evaluar presentar de inmediato y con todo el material ya cargado.</t>
  </si>
  <si>
    <t>Dejar el curso completo y operativo en el Moodle ANTES de presentar y dar acceso de revisión a SENCE.</t>
  </si>
  <si>
    <t>RE 2.484 III.2: SENCE puede revisar la plataforma y el acceso debe mantenerse operativo durante la revisión y toda la vigencia del curso. Esto adelanta la producción de Rise, quizzes, foros y evaluaciones.</t>
  </si>
  <si>
    <t>Equipo producción</t>
  </si>
  <si>
    <t>R101</t>
  </si>
  <si>
    <t>Configurar en Moodle la trazabilidad exigida: identificación y participación, progresión, actividades realizadas, intervenciones del facilitador, interacciones/retroalimentaciones, evaluaciones y resultados.</t>
  </si>
  <si>
    <t>RE 2.484 III.2 pide poder reconstruir el proceso formativo con esos registros. Hay que dejar activos finalización de actividades, registros, foros con participación del tutor, comentarios de retroalimentación y libro de calificaciones.</t>
  </si>
  <si>
    <t>Evaluación sumativa M6 (evaluación final integradora del curso)</t>
  </si>
  <si>
    <t>Declarar costos en pesos coherentes con la modalidad, duración, plataforma, facilitador y materiales.</t>
  </si>
  <si>
    <t>RE 2.484 IV.3.1: SENCE puede observar costos inconsistentes u omitidos.</t>
  </si>
  <si>
    <t>Revisar RE 2.486 (procedimiento transitorio de adecuación) cuando se publique su texto.</t>
  </si>
  <si>
    <t>Por definir</t>
  </si>
  <si>
    <t>Aplica a cursos ya inscritos; no a una solicitud nueva, pero conviene confirmar.</t>
  </si>
  <si>
    <t>La planilla «Checklist_codigo_SENCE_asincronico» está construida sobre la RE 1560 (derogada). Rehacerla sobre la RE 2.484 y el Anexo Técnico cuando lo tengamos.</t>
  </si>
  <si>
    <t>Hoy el cruce con la norma vigente está en la hoja «Cumplimiento RE 2484» de este libro.</t>
  </si>
  <si>
    <t>Claude</t>
  </si>
  <si>
    <t>Definir la instancia de interacción pedagógica del tutor (frecuencia, plazo, registro) para cumplir la Ley 21.850.</t>
  </si>
  <si>
    <t>IV.2.1 f) y II.1.b.2</t>
  </si>
  <si>
    <t>Los hitos con retroalimentación (≤72 h) la cubren en esta propuesta; falta fijar plazo en días hábiles y evidencia de registro.</t>
  </si>
  <si>
    <t>Existe una persona facilitadora, tutora o responsable del proceso formativo; en asincrónica se verifica la intervención efectiva de un facilitador responsable.</t>
  </si>
  <si>
    <t>Piloto de tiempos: medir con 3–5 personas cuánto demora una pantalla de Rise, un quiz y un caso.</t>
  </si>
  <si>
    <t>Hitos con retroalimentación, foros con respuesta del tutor (&lt;24 h hábiles) y seguimiento. FALTA identificar al facilitador/tutor responsable.</t>
  </si>
  <si>
    <t>El modelo supone 7,5 min/pantalla y 15 min/quiz. Si el piloto difiere, se ajustan parámetros y se recalcula.</t>
  </si>
  <si>
    <t>Recursos (columna Interacción facilitador/tutor)</t>
  </si>
  <si>
    <t>Confirmar la norma de evaluación definitiva (escala, nota mínima, ponderaciones).</t>
  </si>
  <si>
    <t>Hoy son valores provisionales; deben coincidir con lo informado en la solicitud.</t>
  </si>
  <si>
    <t>Revisar la propuesta a Accenture: cita la RE 1560 (derogada) y supone 100% imputable ($580.800).</t>
  </si>
  <si>
    <t>Con la Ley 21.850 y la RE 2.484 conviene corregir la normativa citada y verificar el monto imputable.</t>
  </si>
  <si>
    <t>Definir el criterio de elección del «desafío laboral real» y ofrecer ejemplos guía (oficios y cargos frecuentes) para quien no tiene empleo actual.</t>
  </si>
  <si>
    <t>El proyecto debe ser factible tanto para cesantes como para personas en actividad, sin suponer acceso a datos de una empresa.</t>
  </si>
  <si>
    <t>Revisar que las herramientas de IA usadas tengan plan gratuito, funcionen en celular y no exijan licencias corporativas; verificar vigencia de cada plan al producir.</t>
  </si>
  <si>
    <t>El público principal puede no contar con licencias pagadas ni computador propio.</t>
  </si>
  <si>
    <t>Nota de coherencia: el total de bloques de aplicación (casos + hitos) es 20 (11 casos + 9 hitos), es decir 30 h. Un resumen anterior hablaba de 24.</t>
  </si>
  <si>
    <t>Corrección del conteo; los totales de horas de esta hoja son los que valen.</t>
  </si>
  <si>
    <t>Alto</t>
  </si>
  <si>
    <t>IV.2.1 g)</t>
  </si>
  <si>
    <t>Contempla al menos una instancia obligatoria de interacción, retroalimentación o acompañamiento vinculada al aprendizaje (misma exigencia de la Ley 21.850 art. 29 N°1).</t>
  </si>
  <si>
    <t>9 hitos del proyecto con retroalimentación del facilitador (≤72 h) y 6 foros moderados; los hitos son obligatorios y evaluados.</t>
  </si>
  <si>
    <t>Recursos; Casos y proyecto</t>
  </si>
  <si>
    <t>IV.2.1 h)</t>
  </si>
  <si>
    <t>Contiene una evaluación destinada a verificar los aprendizajes logrados.</t>
  </si>
  <si>
    <t>Diagnóstica, 22 quizzes formativos, 6 evaluaciones sumativas (la última integradora), hitos con rúbrica.</t>
  </si>
  <si>
    <t>Evaluación; Recursos</t>
  </si>
  <si>
    <t>IV.2.1 (cierre)</t>
  </si>
  <si>
    <t>Incumplir cualquiera de las exigencias a)–h) hace la solicitud inadmisible y no se continúa la revisión.</t>
  </si>
  <si>
    <t>Revisar las ocho filas anteriores antes de ingresar; las marcadas «Por definir» deben cerrarse.</t>
  </si>
  <si>
    <t>IV.2.2 a)</t>
  </si>
  <si>
    <t>Admisibilidad formal</t>
  </si>
  <si>
    <t>Todos los campos y antecedentes obligatorios del sistema están completos.</t>
  </si>
  <si>
    <t>Se completará con las hojas Estructura, Recursos y Evaluación como fuente única.</t>
  </si>
  <si>
    <t>Estructura, Recursos</t>
  </si>
  <si>
    <t>IV.2.2 b)</t>
  </si>
  <si>
    <t>Competencia, AE, contenidos, técnicas metodológicas, actividades y mecanismos de evaluación son coherentes y consistentes entre sí.</t>
  </si>
  <si>
    <t>Matriz de coherencia: cada AE con contenidos, técnica, actividades, criterios e instrumentos; cobertura verificada por fórmula.</t>
  </si>
  <si>
    <t>Matriz coherencia</t>
  </si>
  <si>
    <t>IV.2.2 c)</t>
  </si>
  <si>
    <t>La duración total está bien declarada y concuerda con el desglose horario de las actividades formativas.</t>
  </si>
  <si>
    <t>El desglose suma exactamente 88 h (diferencia 0 min por módulo).</t>
  </si>
  <si>
    <t>Resumen horas</t>
  </si>
  <si>
    <t>IV.2.2 d) y II.1.b.2</t>
  </si>
  <si>
    <t>La modalidad está correctamente identificada: a distancia o e-learning, asincrónica (no requiere conexión simultánea; ritmos personalizados) y ejecutada en una LMS.</t>
  </si>
  <si>
    <t>Declarar «A distancia o e-learning – asincrónica» en Moodle. No es autoaprendizaje sin LMS.</t>
  </si>
  <si>
    <t>Léeme</t>
  </si>
  <si>
    <t>IV.2.2 e)</t>
  </si>
  <si>
    <t>Los antecedentes no contienen contradicciones, inconsistencias manifiestas ni información insuficiente.</t>
  </si>
  <si>
    <t>Revisión cruzada final entre propuesta comercial, solicitud y aula (nombre, horas, modalidad, facilitador).</t>
  </si>
  <si>
    <t>IV.3 a)</t>
  </si>
  <si>
    <t>Evaluación técnica</t>
  </si>
  <si>
    <t>Coherencia curricular: relación entre nombre del curso, competencia, AE, contenidos y características de los participantes.</t>
  </si>
  <si>
    <t>Participantes: cesantes principalmente y personas en actividad; AE y proyecto funcionan para ambos perfiles.</t>
  </si>
  <si>
    <t>Léeme; Estructura</t>
  </si>
  <si>
    <t>Depende del Anexo Técnico</t>
  </si>
  <si>
    <t>IV.3 b)</t>
  </si>
  <si>
    <t>Pertinencia y suficiencia de las técnicas metodológicas para lograr los AE y adecuación a la modalidad.</t>
  </si>
  <si>
    <t>Una técnica por AE (práctica guiada, laboratorio, casos reales, proyecto con retroalimentación).</t>
  </si>
  <si>
    <t>Estructura (columna Técnica)</t>
  </si>
  <si>
    <t>IV.3 c)</t>
  </si>
  <si>
    <t>Suficiencia y proporcionalidad de la duración, incluida su distribución entre actividades.</t>
  </si>
  <si>
    <t>Distribución por tipo de actividad y por módulo, con parámetros explícitos (7,5 min/pantalla, etc.).</t>
  </si>
  <si>
    <t>Resumen horas; Parámetros</t>
  </si>
  <si>
    <t>IV.3 d) y II.1.b.2</t>
  </si>
  <si>
    <t>Presencia de las competencias del facilitador/tutor para conducir, orientar y apoyar el aprendizaje.</t>
  </si>
  <si>
    <t>Perfil por definir (IA generativa aplicada + tutoría e-learning).</t>
  </si>
  <si>
    <t>Pendientes</t>
  </si>
  <si>
    <t>IV.3 e)</t>
  </si>
  <si>
    <t>Existencia y suficiencia de mecanismos de interacción, retroalimentación o acompañamiento que formen parte efectiva del aprendizaje, no una mera disponibilidad formal.</t>
  </si>
  <si>
    <t>Hitos obligatorios y evaluados, foros con participación del tutor, retroalimentación en plazo definido.</t>
  </si>
  <si>
    <t>IV.3 f)</t>
  </si>
  <si>
    <t>Pertinencia de la estrategia e instrumentos de evaluación y su correspondencia con competencia, AE y contenidos.</t>
  </si>
  <si>
    <t>Criterios de evaluación por AE e instrumentos en la Matriz de coherencia; norma de aprobación en la hoja Evaluación.</t>
  </si>
  <si>
    <t>Matriz coherencia; Evaluación</t>
  </si>
  <si>
    <t>IV.3 g)</t>
  </si>
  <si>
    <t>Adecuación de materiales didácticos, recursos, infraestructura, equipamiento y plataformas según naturaleza, metodología, modalidad y número de participantes.</t>
  </si>
  <si>
    <t>Moodle con Rise (SCORM), quizzes, foros, videos; herramientas de IA con plan gratuito; confirmar capacidad para 100 participantes.</t>
  </si>
  <si>
    <t>Recursos</t>
  </si>
  <si>
    <t>III.2</t>
  </si>
  <si>
    <t>Operativa</t>
  </si>
  <si>
    <t>La LMS es el entorno de ejecución y registro; SENCE puede revisarla y el acceso debe mantenerse operativo durante la revisión y toda la vigencia del curso.</t>
  </si>
  <si>
    <t>Entregar accesos de revisión; curso completo en Moodle antes de presentar; compromiso de mantener la plataforma.</t>
  </si>
  <si>
    <t>Trazabilidad: registros de identificación y participación, progresión, actividades realizadas, intervención del facilitador, interacciones/retroalimentaciones, y evaluaciones con sus resultados; deben permitir reconstruir el proceso.</t>
  </si>
  <si>
    <t>Activar finalización de actividades, registros, foros, comentarios de retroalimentación y libro de calificaciones en Moodle.</t>
  </si>
  <si>
    <t>IV.3.1</t>
  </si>
  <si>
    <t>Costos en pesos coherentes con modalidad, participantes, duración, plataforma, facilitadores, materiales y evaluación; SENCE puede observar inconsistencias.</t>
  </si>
  <si>
    <t>Armar el desglose de costos con la hoja Recursos como respaldo.</t>
  </si>
  <si>
    <t>IV.1.1</t>
  </si>
  <si>
    <t>Plazos</t>
  </si>
  <si>
    <t>Revisión hasta 20 días corridos desde la presentación; cada reingreso reinicia el plazo completo.</t>
  </si>
  <si>
    <t>Inicio del curso: 23-nov. Presentando el 23-oct, la respuesta sin observaciones llegaría hasta el 12-nov.</t>
  </si>
  <si>
    <t>V.1</t>
  </si>
  <si>
    <t>Tras la aprobación, pagar la inscripción por el Portal de Pagos dentro de 20 días corridos desde la solicitud, o se tiene por no presentada.</t>
  </si>
  <si>
    <t>Tener el pago preparado.</t>
  </si>
  <si>
    <t>V.2</t>
  </si>
  <si>
    <t>Solo se puede ofrecer y publicitar el curso desde su autorización, y la publicidad debe coincidir con el diseño aprobado.</t>
  </si>
  <si>
    <t>Revisar material comercial (propuesta a Accenture) una vez aprobado.</t>
  </si>
  <si>
    <t>VI.1 y VI.3</t>
  </si>
  <si>
    <t>Vigencia de 4 años manteniendo todas las condiciones aprobadas en todos sus ítems; SENCE puede verificar y revocar.</t>
  </si>
  <si>
    <t>No cambiar horas, modalidad, evaluación ni estructura después de aprobada.</t>
  </si>
  <si>
    <t>VI.2</t>
  </si>
  <si>
    <t>Las modificaciones excepcionales se piden por Buzón Ciudadano y no pueden alterar la identidad del curso ni sustituir al facilitador autorizado.</t>
  </si>
  <si>
    <t>Definir bien el facilitador y la estructura desde el inicio.</t>
  </si>
  <si>
    <t>Resumen de estado</t>
  </si>
  <si>
    <t>Verificado en Moodle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</si>
</sst>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2">
    <font>
      <sz val="11.0"/>
      <color theme="1"/>
      <name val="Calibri"/>
      <scheme val="minor"/>
    </font>
    <font>
      <b/>
      <sz val="16.0"/>
      <color rgb="FF2A2A2A"/>
      <name val="Arial"/>
    </font>
    <font>
      <sz val="10.0"/>
      <color rgb="FF707070"/>
      <name val="Arial"/>
    </font>
    <font>
      <b/>
      <sz val="10.0"/>
      <color rgb="FF404040"/>
      <name val="Arial"/>
    </font>
    <font>
      <b/>
      <sz val="10.0"/>
      <color rgb="FFFFFFFF"/>
      <name val="Arial"/>
    </font>
    <font>
      <sz val="10.0"/>
      <color rgb="FF404040"/>
      <name val="Arial"/>
    </font>
    <font>
      <sz val="10.0"/>
      <color rgb="FF0000FF"/>
      <name val="Arial"/>
    </font>
    <font>
      <color theme="1"/>
      <name val="Calibri"/>
      <scheme val="minor"/>
    </font>
    <font>
      <u/>
      <color rgb="FF0000FF"/>
    </font>
    <font>
      <b/>
      <sz val="12.0"/>
      <color rgb="FF0090F8"/>
      <name val="Arial"/>
    </font>
    <font/>
    <font>
      <i/>
      <sz val="10.0"/>
      <color rgb="FF70707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BECF0"/>
        <bgColor rgb="FFEBECF0"/>
      </patternFill>
    </fill>
    <fill>
      <patternFill patternType="solid">
        <fgColor rgb="FF0090F8"/>
        <bgColor rgb="FF0090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0D3DA"/>
      </left>
      <right style="thin">
        <color rgb="FFD0D3DA"/>
      </right>
      <top style="thin">
        <color rgb="FFD0D3DA"/>
      </top>
      <bottom style="thin">
        <color rgb="FFD0D3DA"/>
      </bottom>
    </border>
    <border>
      <left style="thin">
        <color rgb="FFD0D3DA"/>
      </left>
      <top style="thin">
        <color rgb="FFD0D3DA"/>
      </top>
      <bottom style="thin">
        <color rgb="FFD0D3DA"/>
      </bottom>
    </border>
    <border>
      <right style="thin">
        <color rgb="FFD0D3DA"/>
      </right>
      <top style="thin">
        <color rgb="FFD0D3DA"/>
      </top>
      <bottom style="thin">
        <color rgb="FFD0D3DA"/>
      </bottom>
    </border>
    <border>
      <top style="thin">
        <color rgb="FFD0D3DA"/>
      </top>
      <bottom style="thin">
        <color rgb="FFD0D3DA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readingOrder="0" shrinkToFit="0" vertical="center" wrapText="1"/>
    </xf>
    <xf borderId="1" fillId="4" fontId="3" numFmtId="0" xfId="0" applyAlignment="1" applyBorder="1" applyFill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4" fontId="5" numFmtId="0" xfId="0" applyAlignment="1" applyBorder="1" applyFill="1" applyFont="1">
      <alignment horizontal="center" shrinkToFit="0" vertical="top" wrapText="1"/>
    </xf>
    <xf borderId="1" fillId="4" fontId="5" numFmtId="0" xfId="0" applyAlignment="1" applyBorder="1" applyFill="1" applyFont="1">
      <alignment horizontal="left" shrinkToFit="0" vertical="top" wrapText="1"/>
    </xf>
    <xf borderId="1" fillId="4" fontId="6" numFmtId="0" xfId="0" applyAlignment="1" applyBorder="1" applyFill="1" applyFont="1">
      <alignment horizontal="center" shrinkToFit="0" vertical="top" wrapText="1"/>
    </xf>
    <xf borderId="1" fillId="4" fontId="5" numFmtId="164" xfId="0" applyAlignment="1" applyBorder="1" applyFill="1" applyFont="1" applyNumberFormat="1">
      <alignment horizontal="center" shrinkToFit="0" vertical="top" wrapText="1"/>
    </xf>
    <xf borderId="0" fillId="0" fontId="8" numFmtId="0" xfId="0" applyAlignment="1" applyFont="1">
      <alignment readingOrder="0"/>
    </xf>
    <xf borderId="1" fillId="0" fontId="5" numFmtId="164" xfId="0" applyAlignment="1" applyBorder="1" applyFont="1" applyNumberFormat="1">
      <alignment horizontal="center" shrinkToFit="0" vertical="top" wrapText="1"/>
    </xf>
    <xf borderId="1" fillId="5" fontId="3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horizontal="left" shrinkToFit="0" vertical="top" wrapText="1"/>
    </xf>
    <xf borderId="1" fillId="5" fontId="6" numFmtId="0" xfId="0" applyAlignment="1" applyBorder="1" applyFill="1" applyFont="1">
      <alignment horizontal="center" shrinkToFit="0" vertical="top" wrapText="1"/>
    </xf>
    <xf borderId="1" fillId="5" fontId="5" numFmtId="164" xfId="0" applyAlignment="1" applyBorder="1" applyFill="1" applyFont="1" applyNumberFormat="1">
      <alignment horizontal="center" shrinkToFit="0" vertical="top" wrapText="1"/>
    </xf>
    <xf borderId="1" fillId="4" fontId="6" numFmtId="0" xfId="0" applyAlignment="1" applyBorder="1" applyFill="1" applyFont="1">
      <alignment horizontal="left" shrinkToFit="0" vertical="top" wrapText="1"/>
    </xf>
    <xf borderId="1" fillId="4" fontId="6" numFmtId="164" xfId="0" applyAlignment="1" applyBorder="1" applyFill="1" applyFont="1" applyNumberFormat="1">
      <alignment horizontal="center" shrinkToFit="0" vertical="top" wrapText="1"/>
    </xf>
    <xf borderId="1" fillId="5" fontId="6" numFmtId="0" xfId="0" applyAlignment="1" applyBorder="1" applyFill="1" applyFont="1">
      <alignment horizontal="left" shrinkToFit="0" vertical="top" wrapText="1"/>
    </xf>
    <xf borderId="1" fillId="2" fontId="5" numFmtId="0" xfId="0" applyAlignment="1" applyBorder="1" applyFill="1" applyFont="1">
      <alignment horizontal="left" shrinkToFit="0" vertical="top" wrapText="1"/>
    </xf>
    <xf borderId="1" fillId="2" fontId="3" numFmtId="1" xfId="0" applyAlignment="1" applyBorder="1" applyFill="1" applyFont="1" applyNumberFormat="1">
      <alignment horizontal="center" shrinkToFit="0" vertical="top" wrapText="1"/>
    </xf>
    <xf borderId="1" fillId="2" fontId="3" numFmtId="164" xfId="0" applyAlignment="1" applyBorder="1" applyFill="1" applyFont="1" applyNumberFormat="1">
      <alignment horizontal="center" shrinkToFit="0" vertical="top" wrapText="1"/>
    </xf>
    <xf borderId="1" fillId="5" fontId="6" numFmtId="164" xfId="0" applyAlignment="1" applyBorder="1" applyFill="1" applyFont="1" applyNumberFormat="1">
      <alignment horizontal="center" shrinkToFit="0" vertical="top" wrapText="1"/>
    </xf>
    <xf borderId="1" fillId="2" fontId="3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bottom" wrapText="0"/>
    </xf>
    <xf borderId="2" fillId="0" fontId="3" numFmtId="0" xfId="0" applyAlignment="1" applyBorder="1" applyFont="1">
      <alignment horizontal="left" shrinkToFit="0" vertical="top" wrapText="1"/>
    </xf>
    <xf borderId="3" fillId="0" fontId="10" numFmtId="0" xfId="0" applyBorder="1" applyFont="1"/>
    <xf borderId="1" fillId="0" fontId="5" numFmtId="2" xfId="0" applyAlignment="1" applyBorder="1" applyFont="1" applyNumberFormat="1">
      <alignment horizontal="center" shrinkToFit="0" vertical="top" wrapText="1"/>
    </xf>
    <xf borderId="1" fillId="0" fontId="5" numFmtId="165" xfId="0" applyAlignment="1" applyBorder="1" applyFont="1" applyNumberFormat="1">
      <alignment horizontal="center" shrinkToFit="0" vertical="top" wrapText="1"/>
    </xf>
    <xf borderId="1" fillId="0" fontId="3" numFmtId="2" xfId="0" applyAlignment="1" applyBorder="1" applyFont="1" applyNumberFormat="1">
      <alignment horizontal="center" shrinkToFit="0" vertical="top" wrapText="1"/>
    </xf>
    <xf borderId="1" fillId="0" fontId="3" numFmtId="165" xfId="0" applyAlignment="1" applyBorder="1" applyFont="1" applyNumberFormat="1">
      <alignment horizontal="center" shrinkToFit="0" vertical="top" wrapText="1"/>
    </xf>
    <xf borderId="0" fillId="0" fontId="11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top" wrapText="1"/>
    </xf>
    <xf borderId="4" fillId="0" fontId="10" numFmtId="0" xfId="0" applyBorder="1" applyFont="1"/>
    <xf borderId="1" fillId="0" fontId="6" numFmtId="165" xfId="0" applyAlignment="1" applyBorder="1" applyFont="1" applyNumberFormat="1">
      <alignment horizontal="center" shrinkToFit="0" vertical="top" wrapText="1"/>
    </xf>
    <xf borderId="1" fillId="2" fontId="3" numFmtId="165" xfId="0" applyAlignment="1" applyBorder="1" applyFill="1" applyFont="1" applyNumberFormat="1">
      <alignment horizontal="center" shrinkToFit="0" vertical="top" wrapText="1"/>
    </xf>
    <xf borderId="1" fillId="3" fontId="4" numFmtId="0" xfId="0" applyAlignment="1" applyBorder="1" applyFill="1" applyFont="1">
      <alignment horizontal="center" shrinkToFit="0" vertical="bottom" wrapText="1"/>
    </xf>
    <xf borderId="1" fillId="0" fontId="6" numFmtId="9" xfId="0" applyAlignment="1" applyBorder="1" applyFont="1" applyNumberFormat="1">
      <alignment horizontal="center" shrinkToFit="0" vertical="top" wrapText="1"/>
    </xf>
    <xf borderId="1" fillId="2" fontId="3" numFmtId="9" xfId="0" applyAlignment="1" applyBorder="1" applyFill="1" applyFont="1" applyNumberFormat="1">
      <alignment horizontal="center" shrinkToFit="0" vertical="top" wrapText="1"/>
    </xf>
    <xf borderId="1" fillId="0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3"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color rgb="FF9C0006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mpoderatech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10.0"/>
    <col customWidth="1" min="3" max="3" width="46.86"/>
    <col customWidth="1" min="4" max="26" width="8.71"/>
  </cols>
  <sheetData>
    <row r="1">
      <c r="A1" s="1" t="s">
        <v>0</v>
      </c>
    </row>
    <row r="2">
      <c r="A2" s="2" t="s">
        <v>4</v>
      </c>
    </row>
    <row r="4" ht="48.75" customHeight="1">
      <c r="A4" s="3" t="s">
        <v>11</v>
      </c>
      <c r="B4" s="5" t="s">
        <v>12</v>
      </c>
    </row>
    <row r="5" ht="78.75" customHeight="1">
      <c r="A5" s="3" t="s">
        <v>29</v>
      </c>
      <c r="B5" s="5" t="s">
        <v>34</v>
      </c>
      <c r="C5" s="9" t="s">
        <v>39</v>
      </c>
    </row>
    <row r="6" ht="78.75" customHeight="1">
      <c r="A6" s="3" t="s">
        <v>46</v>
      </c>
      <c r="B6" s="5" t="s">
        <v>50</v>
      </c>
    </row>
    <row r="7" ht="63.75" customHeight="1">
      <c r="A7" s="3" t="s">
        <v>53</v>
      </c>
      <c r="B7" s="5" t="s">
        <v>59</v>
      </c>
    </row>
    <row r="8" ht="48.75" customHeight="1">
      <c r="A8" s="3" t="s">
        <v>63</v>
      </c>
      <c r="B8" s="5" t="s">
        <v>65</v>
      </c>
    </row>
    <row r="9" ht="48.75" customHeight="1">
      <c r="A9" s="3" t="s">
        <v>67</v>
      </c>
      <c r="B9" s="5" t="s">
        <v>71</v>
      </c>
    </row>
    <row r="10" ht="63.75" customHeight="1">
      <c r="A10" s="3" t="s">
        <v>73</v>
      </c>
      <c r="B10" s="5" t="s">
        <v>76</v>
      </c>
    </row>
    <row r="11" ht="48.75" customHeight="1">
      <c r="A11" s="3" t="s">
        <v>77</v>
      </c>
      <c r="B11" s="5" t="s">
        <v>80</v>
      </c>
    </row>
    <row r="12" ht="33.75" customHeight="1">
      <c r="A12" s="3" t="s">
        <v>83</v>
      </c>
      <c r="B12" s="5" t="s">
        <v>85</v>
      </c>
    </row>
    <row r="13" ht="18.75" customHeight="1">
      <c r="A13" s="3" t="s">
        <v>87</v>
      </c>
      <c r="B13" s="5" t="s">
        <v>88</v>
      </c>
      <c r="C13" s="16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3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60.0"/>
    <col customWidth="1" min="3" max="4" width="12.0"/>
    <col customWidth="1" min="5" max="26" width="8.71"/>
  </cols>
  <sheetData>
    <row r="1">
      <c r="A1" s="1" t="s">
        <v>2</v>
      </c>
    </row>
    <row r="2">
      <c r="A2" s="2" t="s">
        <v>5</v>
      </c>
    </row>
    <row r="4" ht="31.5" customHeight="1">
      <c r="A4" s="4" t="s">
        <v>8</v>
      </c>
      <c r="B4" s="4" t="s">
        <v>13</v>
      </c>
      <c r="C4" s="4" t="s">
        <v>14</v>
      </c>
      <c r="D4" s="4" t="s">
        <v>15</v>
      </c>
    </row>
    <row r="5">
      <c r="A5" s="6" t="s">
        <v>16</v>
      </c>
      <c r="B5" s="5" t="s">
        <v>22</v>
      </c>
      <c r="C5" s="7">
        <v>7.5</v>
      </c>
      <c r="D5" s="8" t="s">
        <v>33</v>
      </c>
    </row>
    <row r="6">
      <c r="A6" s="6" t="s">
        <v>37</v>
      </c>
      <c r="B6" s="5" t="s">
        <v>41</v>
      </c>
      <c r="C6" s="7">
        <v>15.0</v>
      </c>
      <c r="D6" s="8" t="s">
        <v>33</v>
      </c>
    </row>
    <row r="7">
      <c r="A7" s="6" t="s">
        <v>44</v>
      </c>
      <c r="B7" s="5" t="s">
        <v>48</v>
      </c>
      <c r="C7" s="7">
        <v>30.0</v>
      </c>
      <c r="D7" s="8" t="s">
        <v>33</v>
      </c>
    </row>
    <row r="8">
      <c r="A8" s="6" t="s">
        <v>54</v>
      </c>
      <c r="B8" s="5" t="s">
        <v>56</v>
      </c>
      <c r="C8" s="7">
        <v>3.0</v>
      </c>
      <c r="D8" s="8" t="s">
        <v>33</v>
      </c>
    </row>
    <row r="9">
      <c r="A9" s="6" t="s">
        <v>62</v>
      </c>
      <c r="B9" s="5" t="s">
        <v>56</v>
      </c>
      <c r="C9" s="7">
        <v>3.0</v>
      </c>
      <c r="D9" s="8" t="s">
        <v>33</v>
      </c>
    </row>
    <row r="10">
      <c r="A10" s="6" t="s">
        <v>68</v>
      </c>
      <c r="B10" s="5" t="s">
        <v>72</v>
      </c>
      <c r="C10" s="7">
        <v>90.0</v>
      </c>
      <c r="D10" s="8" t="s">
        <v>33</v>
      </c>
    </row>
    <row r="11">
      <c r="A11" s="6" t="s">
        <v>74</v>
      </c>
      <c r="B11" s="5" t="s">
        <v>75</v>
      </c>
      <c r="C11" s="7">
        <v>45.0</v>
      </c>
      <c r="D11" s="8" t="s">
        <v>33</v>
      </c>
    </row>
    <row r="12">
      <c r="A12" s="6" t="s">
        <v>78</v>
      </c>
      <c r="B12" s="5" t="s">
        <v>79</v>
      </c>
      <c r="C12" s="7">
        <v>88.0</v>
      </c>
      <c r="D12" s="8" t="s">
        <v>81</v>
      </c>
    </row>
    <row r="13">
      <c r="A13" s="6" t="s">
        <v>82</v>
      </c>
      <c r="B13" s="5" t="s">
        <v>84</v>
      </c>
      <c r="C13" s="7">
        <v>15.0</v>
      </c>
      <c r="D13" s="8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40.0"/>
    <col customWidth="1" min="3" max="3" width="12.0"/>
    <col customWidth="1" min="4" max="13" width="11.0"/>
    <col customWidth="1" min="14" max="15" width="12.0"/>
    <col customWidth="1" min="16" max="16" width="11.0"/>
    <col customWidth="1" min="17" max="17" width="8.0"/>
    <col customWidth="1" min="18" max="18" width="13.0"/>
    <col customWidth="1" min="19" max="26" width="8.71"/>
  </cols>
  <sheetData>
    <row r="1">
      <c r="A1" s="1" t="s">
        <v>1</v>
      </c>
    </row>
    <row r="2">
      <c r="A2" s="2" t="s">
        <v>7</v>
      </c>
    </row>
    <row r="4" ht="31.5" customHeight="1">
      <c r="A4" s="4" t="s">
        <v>10</v>
      </c>
      <c r="B4" s="4" t="s">
        <v>18</v>
      </c>
      <c r="C4" s="4" t="s">
        <v>20</v>
      </c>
      <c r="D4" s="4" t="s">
        <v>24</v>
      </c>
      <c r="E4" s="4" t="s">
        <v>26</v>
      </c>
      <c r="F4" s="4" t="s">
        <v>30</v>
      </c>
      <c r="G4" s="4" t="s">
        <v>32</v>
      </c>
      <c r="H4" s="4" t="s">
        <v>35</v>
      </c>
      <c r="I4" s="4" t="s">
        <v>40</v>
      </c>
      <c r="J4" s="4" t="s">
        <v>43</v>
      </c>
      <c r="K4" s="4" t="s">
        <v>45</v>
      </c>
      <c r="L4" s="4" t="s">
        <v>51</v>
      </c>
      <c r="M4" s="4" t="s">
        <v>55</v>
      </c>
      <c r="N4" s="4" t="s">
        <v>58</v>
      </c>
      <c r="O4" s="4" t="s">
        <v>61</v>
      </c>
      <c r="P4" s="4" t="s">
        <v>42</v>
      </c>
      <c r="Q4" s="4" t="s">
        <v>66</v>
      </c>
      <c r="R4" s="4" t="s">
        <v>70</v>
      </c>
    </row>
    <row r="5">
      <c r="A5" s="11">
        <v>1.0</v>
      </c>
      <c r="B5" s="5" t="s">
        <v>86</v>
      </c>
      <c r="C5" s="7">
        <v>16.0</v>
      </c>
      <c r="D5" s="8">
        <f t="shared" ref="D5:D10" si="1">C5*60</f>
        <v>960</v>
      </c>
      <c r="E5" s="17">
        <f>SUMIFS(Recursos!$G$5:$G$105,Recursos!$B$5:$B$105,$A5,Recursos!$D$5:$D$105,"Rise")</f>
        <v>487.5</v>
      </c>
      <c r="F5" s="17">
        <f>SUMIFS(Recursos!$G$5:$G$105,Recursos!$B$5:$B$105,$A5,Recursos!$D$5:$D$105,"Quiz formativo")</f>
        <v>60</v>
      </c>
      <c r="G5" s="17">
        <f>SUMIFS(Recursos!$G$5:$G$105,Recursos!$B$5:$B$105,$A5,Recursos!$D$5:$D$105,"Caso de aplicación")</f>
        <v>180</v>
      </c>
      <c r="H5" s="17">
        <f>SUMIFS(Recursos!$G$5:$G$105,Recursos!$B$5:$B$105,$A5,Recursos!$D$5:$D$105,"Hito proyecto")</f>
        <v>90</v>
      </c>
      <c r="I5" s="17">
        <f>SUMIFS(Recursos!$G$5:$G$105,Recursos!$B$5:$B$105,$A5,Recursos!$D$5:$D$105,"Foro")</f>
        <v>30</v>
      </c>
      <c r="J5" s="17">
        <f>SUMIFS(Recursos!$G$5:$G$105,Recursos!$B$5:$B$105,$A5,Recursos!$D$5:$D$105,"Video")</f>
        <v>6</v>
      </c>
      <c r="K5" s="17">
        <f>SUMIFS(Recursos!$G$5:$G$105,Recursos!$B$5:$B$105,$A5,Recursos!$D$5:$D$105,"Evaluación sumativa")</f>
        <v>60</v>
      </c>
      <c r="L5" s="17">
        <f>SUMIFS(Recursos!$G$5:$G$105,Recursos!$B$5:$B$105,$A5,Recursos!$D$5:$D$105,"Inducción/Diagnóstica")</f>
        <v>45</v>
      </c>
      <c r="M5" s="17">
        <f>SUMIFS(Recursos!$G$5:$G$105,Recursos!$B$5:$B$105,$A5,Recursos!$D$5:$D$105,"Resumen y glosario")</f>
        <v>1.5</v>
      </c>
      <c r="N5" s="17">
        <f t="shared" ref="N5:N10" si="2">SUM(E5:M5)</f>
        <v>960</v>
      </c>
      <c r="O5" s="17">
        <f t="shared" ref="O5:O10" si="3">D5-N5</f>
        <v>0</v>
      </c>
      <c r="P5" s="8">
        <f>SUMIFS(Estructura!$M$5:$M$26,Estructura!$B$5:$B$26,A5)</f>
        <v>65</v>
      </c>
      <c r="Q5" s="8">
        <f>COUNTIFS(Estructura!$B$5:$B$26,A5)</f>
        <v>4</v>
      </c>
      <c r="R5" s="11" t="str">
        <f t="shared" ref="R5:R10" si="4">IF(AND(ROUND(O5,1)=0,Q5&lt;=4),"OK","Revisar")</f>
        <v>OK</v>
      </c>
    </row>
    <row r="6">
      <c r="A6" s="11">
        <v>2.0</v>
      </c>
      <c r="B6" s="5" t="s">
        <v>127</v>
      </c>
      <c r="C6" s="7">
        <v>16.0</v>
      </c>
      <c r="D6" s="8">
        <f t="shared" si="1"/>
        <v>960</v>
      </c>
      <c r="E6" s="17">
        <f>SUMIFS(Recursos!$G$5:$G$105,Recursos!$B$5:$B$105,$A6,Recursos!$D$5:$D$105,"Rise")</f>
        <v>532.5</v>
      </c>
      <c r="F6" s="17">
        <f>SUMIFS(Recursos!$G$5:$G$105,Recursos!$B$5:$B$105,$A6,Recursos!$D$5:$D$105,"Quiz formativo")</f>
        <v>60</v>
      </c>
      <c r="G6" s="17">
        <f>SUMIFS(Recursos!$G$5:$G$105,Recursos!$B$5:$B$105,$A6,Recursos!$D$5:$D$105,"Caso de aplicación")</f>
        <v>180</v>
      </c>
      <c r="H6" s="17">
        <f>SUMIFS(Recursos!$G$5:$G$105,Recursos!$B$5:$B$105,$A6,Recursos!$D$5:$D$105,"Hito proyecto")</f>
        <v>90</v>
      </c>
      <c r="I6" s="17">
        <f>SUMIFS(Recursos!$G$5:$G$105,Recursos!$B$5:$B$105,$A6,Recursos!$D$5:$D$105,"Foro")</f>
        <v>30</v>
      </c>
      <c r="J6" s="17">
        <f>SUMIFS(Recursos!$G$5:$G$105,Recursos!$B$5:$B$105,$A6,Recursos!$D$5:$D$105,"Video")</f>
        <v>6</v>
      </c>
      <c r="K6" s="17">
        <f>SUMIFS(Recursos!$G$5:$G$105,Recursos!$B$5:$B$105,$A6,Recursos!$D$5:$D$105,"Evaluación sumativa")</f>
        <v>60</v>
      </c>
      <c r="L6" s="17">
        <f>SUMIFS(Recursos!$G$5:$G$105,Recursos!$B$5:$B$105,$A6,Recursos!$D$5:$D$105,"Inducción/Diagnóstica")</f>
        <v>0</v>
      </c>
      <c r="M6" s="17">
        <f>SUMIFS(Recursos!$G$5:$G$105,Recursos!$B$5:$B$105,$A6,Recursos!$D$5:$D$105,"Resumen y glosario")</f>
        <v>1.5</v>
      </c>
      <c r="N6" s="17">
        <f t="shared" si="2"/>
        <v>960</v>
      </c>
      <c r="O6" s="17">
        <f t="shared" si="3"/>
        <v>0</v>
      </c>
      <c r="P6" s="8">
        <f>SUMIFS(Estructura!$M$5:$M$26,Estructura!$B$5:$B$26,A6)</f>
        <v>71</v>
      </c>
      <c r="Q6" s="8">
        <f>COUNTIFS(Estructura!$B$5:$B$26,A6)</f>
        <v>4</v>
      </c>
      <c r="R6" s="11" t="str">
        <f t="shared" si="4"/>
        <v>OK</v>
      </c>
    </row>
    <row r="7">
      <c r="A7" s="11">
        <v>3.0</v>
      </c>
      <c r="B7" s="5" t="s">
        <v>198</v>
      </c>
      <c r="C7" s="7">
        <v>16.0</v>
      </c>
      <c r="D7" s="8">
        <f t="shared" si="1"/>
        <v>960</v>
      </c>
      <c r="E7" s="17">
        <f>SUMIFS(Recursos!$G$5:$G$105,Recursos!$B$5:$B$105,$A7,Recursos!$D$5:$D$105,"Rise")</f>
        <v>532.5</v>
      </c>
      <c r="F7" s="17">
        <f>SUMIFS(Recursos!$G$5:$G$105,Recursos!$B$5:$B$105,$A7,Recursos!$D$5:$D$105,"Quiz formativo")</f>
        <v>60</v>
      </c>
      <c r="G7" s="17">
        <f>SUMIFS(Recursos!$G$5:$G$105,Recursos!$B$5:$B$105,$A7,Recursos!$D$5:$D$105,"Caso de aplicación")</f>
        <v>180</v>
      </c>
      <c r="H7" s="17">
        <f>SUMIFS(Recursos!$G$5:$G$105,Recursos!$B$5:$B$105,$A7,Recursos!$D$5:$D$105,"Hito proyecto")</f>
        <v>90</v>
      </c>
      <c r="I7" s="17">
        <f>SUMIFS(Recursos!$G$5:$G$105,Recursos!$B$5:$B$105,$A7,Recursos!$D$5:$D$105,"Foro")</f>
        <v>30</v>
      </c>
      <c r="J7" s="17">
        <f>SUMIFS(Recursos!$G$5:$G$105,Recursos!$B$5:$B$105,$A7,Recursos!$D$5:$D$105,"Video")</f>
        <v>6</v>
      </c>
      <c r="K7" s="17">
        <f>SUMIFS(Recursos!$G$5:$G$105,Recursos!$B$5:$B$105,$A7,Recursos!$D$5:$D$105,"Evaluación sumativa")</f>
        <v>60</v>
      </c>
      <c r="L7" s="17">
        <f>SUMIFS(Recursos!$G$5:$G$105,Recursos!$B$5:$B$105,$A7,Recursos!$D$5:$D$105,"Inducción/Diagnóstica")</f>
        <v>0</v>
      </c>
      <c r="M7" s="17">
        <f>SUMIFS(Recursos!$G$5:$G$105,Recursos!$B$5:$B$105,$A7,Recursos!$D$5:$D$105,"Resumen y glosario")</f>
        <v>1.5</v>
      </c>
      <c r="N7" s="17">
        <f t="shared" si="2"/>
        <v>960</v>
      </c>
      <c r="O7" s="17">
        <f t="shared" si="3"/>
        <v>0</v>
      </c>
      <c r="P7" s="8">
        <f>SUMIFS(Estructura!$M$5:$M$26,Estructura!$B$5:$B$26,A7)</f>
        <v>71</v>
      </c>
      <c r="Q7" s="8">
        <f>COUNTIFS(Estructura!$B$5:$B$26,A7)</f>
        <v>4</v>
      </c>
      <c r="R7" s="11" t="str">
        <f t="shared" si="4"/>
        <v>OK</v>
      </c>
    </row>
    <row r="8">
      <c r="A8" s="11">
        <v>4.0</v>
      </c>
      <c r="B8" s="5" t="s">
        <v>255</v>
      </c>
      <c r="C8" s="7">
        <v>16.0</v>
      </c>
      <c r="D8" s="8">
        <f t="shared" si="1"/>
        <v>960</v>
      </c>
      <c r="E8" s="17">
        <f>SUMIFS(Recursos!$G$5:$G$105,Recursos!$B$5:$B$105,$A8,Recursos!$D$5:$D$105,"Rise")</f>
        <v>442.5</v>
      </c>
      <c r="F8" s="17">
        <f>SUMIFS(Recursos!$G$5:$G$105,Recursos!$B$5:$B$105,$A8,Recursos!$D$5:$D$105,"Quiz formativo")</f>
        <v>60</v>
      </c>
      <c r="G8" s="17">
        <f>SUMIFS(Recursos!$G$5:$G$105,Recursos!$B$5:$B$105,$A8,Recursos!$D$5:$D$105,"Caso de aplicación")</f>
        <v>270</v>
      </c>
      <c r="H8" s="17">
        <f>SUMIFS(Recursos!$G$5:$G$105,Recursos!$B$5:$B$105,$A8,Recursos!$D$5:$D$105,"Hito proyecto")</f>
        <v>90</v>
      </c>
      <c r="I8" s="17">
        <f>SUMIFS(Recursos!$G$5:$G$105,Recursos!$B$5:$B$105,$A8,Recursos!$D$5:$D$105,"Foro")</f>
        <v>30</v>
      </c>
      <c r="J8" s="17">
        <f>SUMIFS(Recursos!$G$5:$G$105,Recursos!$B$5:$B$105,$A8,Recursos!$D$5:$D$105,"Video")</f>
        <v>6</v>
      </c>
      <c r="K8" s="17">
        <f>SUMIFS(Recursos!$G$5:$G$105,Recursos!$B$5:$B$105,$A8,Recursos!$D$5:$D$105,"Evaluación sumativa")</f>
        <v>60</v>
      </c>
      <c r="L8" s="17">
        <f>SUMIFS(Recursos!$G$5:$G$105,Recursos!$B$5:$B$105,$A8,Recursos!$D$5:$D$105,"Inducción/Diagnóstica")</f>
        <v>0</v>
      </c>
      <c r="M8" s="17">
        <f>SUMIFS(Recursos!$G$5:$G$105,Recursos!$B$5:$B$105,$A8,Recursos!$D$5:$D$105,"Resumen y glosario")</f>
        <v>1.5</v>
      </c>
      <c r="N8" s="17">
        <f t="shared" si="2"/>
        <v>960</v>
      </c>
      <c r="O8" s="17">
        <f t="shared" si="3"/>
        <v>0</v>
      </c>
      <c r="P8" s="8">
        <f>SUMIFS(Estructura!$M$5:$M$26,Estructura!$B$5:$B$26,A8)</f>
        <v>59</v>
      </c>
      <c r="Q8" s="8">
        <f>COUNTIFS(Estructura!$B$5:$B$26,A8)</f>
        <v>4</v>
      </c>
      <c r="R8" s="11" t="str">
        <f t="shared" si="4"/>
        <v>OK</v>
      </c>
    </row>
    <row r="9">
      <c r="A9" s="11">
        <v>5.0</v>
      </c>
      <c r="B9" s="5" t="s">
        <v>311</v>
      </c>
      <c r="C9" s="7">
        <v>12.0</v>
      </c>
      <c r="D9" s="8">
        <f t="shared" si="1"/>
        <v>720</v>
      </c>
      <c r="E9" s="17">
        <f>SUMIFS(Recursos!$G$5:$G$105,Recursos!$B$5:$B$105,$A9,Recursos!$D$5:$D$105,"Rise")</f>
        <v>322.5</v>
      </c>
      <c r="F9" s="17">
        <f>SUMIFS(Recursos!$G$5:$G$105,Recursos!$B$5:$B$105,$A9,Recursos!$D$5:$D$105,"Quiz formativo")</f>
        <v>45</v>
      </c>
      <c r="G9" s="17">
        <f>SUMIFS(Recursos!$G$5:$G$105,Recursos!$B$5:$B$105,$A9,Recursos!$D$5:$D$105,"Caso de aplicación")</f>
        <v>180</v>
      </c>
      <c r="H9" s="17">
        <f>SUMIFS(Recursos!$G$5:$G$105,Recursos!$B$5:$B$105,$A9,Recursos!$D$5:$D$105,"Hito proyecto")</f>
        <v>90</v>
      </c>
      <c r="I9" s="17">
        <f>SUMIFS(Recursos!$G$5:$G$105,Recursos!$B$5:$B$105,$A9,Recursos!$D$5:$D$105,"Foro")</f>
        <v>30</v>
      </c>
      <c r="J9" s="17">
        <f>SUMIFS(Recursos!$G$5:$G$105,Recursos!$B$5:$B$105,$A9,Recursos!$D$5:$D$105,"Video")</f>
        <v>6</v>
      </c>
      <c r="K9" s="17">
        <f>SUMIFS(Recursos!$G$5:$G$105,Recursos!$B$5:$B$105,$A9,Recursos!$D$5:$D$105,"Evaluación sumativa")</f>
        <v>45</v>
      </c>
      <c r="L9" s="17">
        <f>SUMIFS(Recursos!$G$5:$G$105,Recursos!$B$5:$B$105,$A9,Recursos!$D$5:$D$105,"Inducción/Diagnóstica")</f>
        <v>0</v>
      </c>
      <c r="M9" s="17">
        <f>SUMIFS(Recursos!$G$5:$G$105,Recursos!$B$5:$B$105,$A9,Recursos!$D$5:$D$105,"Resumen y glosario")</f>
        <v>1.5</v>
      </c>
      <c r="N9" s="17">
        <f t="shared" si="2"/>
        <v>720</v>
      </c>
      <c r="O9" s="17">
        <f t="shared" si="3"/>
        <v>0</v>
      </c>
      <c r="P9" s="8">
        <f>SUMIFS(Estructura!$M$5:$M$26,Estructura!$B$5:$B$26,A9)</f>
        <v>43</v>
      </c>
      <c r="Q9" s="8">
        <f>COUNTIFS(Estructura!$B$5:$B$26,A9)</f>
        <v>3</v>
      </c>
      <c r="R9" s="11" t="str">
        <f t="shared" si="4"/>
        <v>OK</v>
      </c>
    </row>
    <row r="10">
      <c r="A10" s="11">
        <v>6.0</v>
      </c>
      <c r="B10" s="5" t="s">
        <v>364</v>
      </c>
      <c r="C10" s="7">
        <v>12.0</v>
      </c>
      <c r="D10" s="8">
        <f t="shared" si="1"/>
        <v>720</v>
      </c>
      <c r="E10" s="17">
        <f>SUMIFS(Recursos!$G$5:$G$105,Recursos!$B$5:$B$105,$A10,Recursos!$D$5:$D$105,"Rise")</f>
        <v>217.5</v>
      </c>
      <c r="F10" s="17">
        <f>SUMIFS(Recursos!$G$5:$G$105,Recursos!$B$5:$B$105,$A10,Recursos!$D$5:$D$105,"Quiz formativo")</f>
        <v>45</v>
      </c>
      <c r="G10" s="17">
        <f>SUMIFS(Recursos!$G$5:$G$105,Recursos!$B$5:$B$105,$A10,Recursos!$D$5:$D$105,"Caso de aplicación")</f>
        <v>0</v>
      </c>
      <c r="H10" s="17">
        <f>SUMIFS(Recursos!$G$5:$G$105,Recursos!$B$5:$B$105,$A10,Recursos!$D$5:$D$105,"Hito proyecto")</f>
        <v>360</v>
      </c>
      <c r="I10" s="17">
        <f>SUMIFS(Recursos!$G$5:$G$105,Recursos!$B$5:$B$105,$A10,Recursos!$D$5:$D$105,"Foro")</f>
        <v>30</v>
      </c>
      <c r="J10" s="17">
        <f>SUMIFS(Recursos!$G$5:$G$105,Recursos!$B$5:$B$105,$A10,Recursos!$D$5:$D$105,"Video")</f>
        <v>6</v>
      </c>
      <c r="K10" s="17">
        <f>SUMIFS(Recursos!$G$5:$G$105,Recursos!$B$5:$B$105,$A10,Recursos!$D$5:$D$105,"Evaluación sumativa")</f>
        <v>60</v>
      </c>
      <c r="L10" s="17">
        <f>SUMIFS(Recursos!$G$5:$G$105,Recursos!$B$5:$B$105,$A10,Recursos!$D$5:$D$105,"Inducción/Diagnóstica")</f>
        <v>0</v>
      </c>
      <c r="M10" s="17">
        <f>SUMIFS(Recursos!$G$5:$G$105,Recursos!$B$5:$B$105,$A10,Recursos!$D$5:$D$105,"Resumen y glosario")</f>
        <v>1.5</v>
      </c>
      <c r="N10" s="17">
        <f t="shared" si="2"/>
        <v>720</v>
      </c>
      <c r="O10" s="17">
        <f t="shared" si="3"/>
        <v>0</v>
      </c>
      <c r="P10" s="8">
        <f>SUMIFS(Estructura!$M$5:$M$26,Estructura!$B$5:$B$26,A10)</f>
        <v>29</v>
      </c>
      <c r="Q10" s="8">
        <f>COUNTIFS(Estructura!$B$5:$B$26,A10)</f>
        <v>3</v>
      </c>
      <c r="R10" s="11" t="str">
        <f t="shared" si="4"/>
        <v>OK</v>
      </c>
    </row>
    <row r="11">
      <c r="A11" s="3" t="s">
        <v>412</v>
      </c>
      <c r="B11" s="26"/>
      <c r="C11" s="27">
        <f t="shared" ref="C11:Q11" si="5">SUM(C5:C10)</f>
        <v>88</v>
      </c>
      <c r="D11" s="28">
        <f t="shared" si="5"/>
        <v>5280</v>
      </c>
      <c r="E11" s="28">
        <f t="shared" si="5"/>
        <v>2535</v>
      </c>
      <c r="F11" s="28">
        <f t="shared" si="5"/>
        <v>330</v>
      </c>
      <c r="G11" s="28">
        <f t="shared" si="5"/>
        <v>990</v>
      </c>
      <c r="H11" s="28">
        <f t="shared" si="5"/>
        <v>810</v>
      </c>
      <c r="I11" s="28">
        <f t="shared" si="5"/>
        <v>180</v>
      </c>
      <c r="J11" s="28">
        <f t="shared" si="5"/>
        <v>36</v>
      </c>
      <c r="K11" s="28">
        <f t="shared" si="5"/>
        <v>345</v>
      </c>
      <c r="L11" s="28">
        <f t="shared" si="5"/>
        <v>45</v>
      </c>
      <c r="M11" s="28">
        <f t="shared" si="5"/>
        <v>9</v>
      </c>
      <c r="N11" s="28">
        <f t="shared" si="5"/>
        <v>5280</v>
      </c>
      <c r="O11" s="28">
        <f t="shared" si="5"/>
        <v>0</v>
      </c>
      <c r="P11" s="27">
        <f t="shared" si="5"/>
        <v>338</v>
      </c>
      <c r="Q11" s="27">
        <f t="shared" si="5"/>
        <v>22</v>
      </c>
      <c r="R11" s="30" t="str">
        <f>IF(AND(C11='Parámetros'!$C$12,COUNTIF(R5:R10,"OK")=6),"OK","Revisar")</f>
        <v>OK</v>
      </c>
    </row>
    <row r="13">
      <c r="A13" s="31" t="s">
        <v>433</v>
      </c>
    </row>
    <row r="14">
      <c r="A14" s="32" t="s">
        <v>149</v>
      </c>
      <c r="B14" s="32"/>
      <c r="C14" s="32" t="s">
        <v>437</v>
      </c>
      <c r="D14" s="32" t="s">
        <v>439</v>
      </c>
    </row>
    <row r="15" ht="15.0" customHeight="1">
      <c r="A15" s="33" t="s">
        <v>200</v>
      </c>
      <c r="B15" s="34"/>
      <c r="C15" s="35">
        <f>E11/60</f>
        <v>42.25</v>
      </c>
      <c r="D15" s="36">
        <f>C15/'Parámetros'!$C$12</f>
        <v>0.4801136364</v>
      </c>
    </row>
    <row r="16" ht="15.0" customHeight="1">
      <c r="A16" s="33" t="s">
        <v>206</v>
      </c>
      <c r="B16" s="34"/>
      <c r="C16" s="35">
        <f>F11/60</f>
        <v>5.5</v>
      </c>
      <c r="D16" s="36">
        <f>C16/'Parámetros'!$C$12</f>
        <v>0.0625</v>
      </c>
    </row>
    <row r="17" ht="15.0" customHeight="1">
      <c r="A17" s="33" t="s">
        <v>278</v>
      </c>
      <c r="B17" s="34"/>
      <c r="C17" s="35">
        <f>G11/60</f>
        <v>16.5</v>
      </c>
      <c r="D17" s="36">
        <f>C17/'Parámetros'!$C$12</f>
        <v>0.1875</v>
      </c>
    </row>
    <row r="18" ht="15.0" customHeight="1">
      <c r="A18" s="33" t="s">
        <v>269</v>
      </c>
      <c r="B18" s="34"/>
      <c r="C18" s="35">
        <f>H11/60</f>
        <v>13.5</v>
      </c>
      <c r="D18" s="36">
        <f>C18/'Parámetros'!$C$12</f>
        <v>0.1534090909</v>
      </c>
    </row>
    <row r="19" ht="15.0" customHeight="1">
      <c r="A19" s="33" t="s">
        <v>292</v>
      </c>
      <c r="B19" s="34"/>
      <c r="C19" s="35">
        <f>I11/60</f>
        <v>3</v>
      </c>
      <c r="D19" s="36">
        <f>C19/'Parámetros'!$C$12</f>
        <v>0.03409090909</v>
      </c>
    </row>
    <row r="20" ht="15.0" customHeight="1">
      <c r="A20" s="33" t="s">
        <v>191</v>
      </c>
      <c r="B20" s="34"/>
      <c r="C20" s="35">
        <f>J11/60</f>
        <v>0.6</v>
      </c>
      <c r="D20" s="36">
        <f>C20/'Parámetros'!$C$12</f>
        <v>0.006818181818</v>
      </c>
    </row>
    <row r="21" ht="15.0" customHeight="1">
      <c r="A21" s="33" t="s">
        <v>325</v>
      </c>
      <c r="B21" s="34"/>
      <c r="C21" s="35">
        <f>K11/60</f>
        <v>5.75</v>
      </c>
      <c r="D21" s="36">
        <f>C21/'Parámetros'!$C$12</f>
        <v>0.06534090909</v>
      </c>
    </row>
    <row r="22" ht="15.0" customHeight="1">
      <c r="A22" s="33" t="s">
        <v>171</v>
      </c>
      <c r="B22" s="34"/>
      <c r="C22" s="35">
        <f>L11/60</f>
        <v>0.75</v>
      </c>
      <c r="D22" s="36">
        <f>C22/'Parámetros'!$C$12</f>
        <v>0.008522727273</v>
      </c>
    </row>
    <row r="23" ht="15.0" customHeight="1">
      <c r="A23" s="33" t="s">
        <v>304</v>
      </c>
      <c r="B23" s="34"/>
      <c r="C23" s="35">
        <f>M11/60</f>
        <v>0.15</v>
      </c>
      <c r="D23" s="36">
        <f>C23/'Parámetros'!$C$12</f>
        <v>0.001704545455</v>
      </c>
    </row>
    <row r="24" ht="15.0" customHeight="1">
      <c r="A24" s="33" t="s">
        <v>412</v>
      </c>
      <c r="B24" s="34"/>
      <c r="C24" s="37">
        <f t="shared" ref="C24:D24" si="6">SUM(C15:C23)</f>
        <v>88</v>
      </c>
      <c r="D24" s="38">
        <f t="shared" si="6"/>
        <v>1</v>
      </c>
    </row>
    <row r="25" ht="15.75" customHeight="1"/>
    <row r="26" ht="15.75" customHeight="1">
      <c r="A26" s="39" t="s">
        <v>488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21:B21"/>
  </mergeCells>
  <conditionalFormatting sqref="R5:R11">
    <cfRule type="cellIs" dxfId="0" priority="1" operator="equal">
      <formula>"OK"</formula>
    </cfRule>
  </conditionalFormatting>
  <conditionalFormatting sqref="R5:R11">
    <cfRule type="cellIs" dxfId="1" priority="2" operator="equal">
      <formula>"Revisar"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24.0"/>
    <col customWidth="1" min="4" max="4" width="38.0"/>
    <col customWidth="1" min="5" max="5" width="22.0"/>
    <col customWidth="1" min="6" max="6" width="46.0"/>
    <col customWidth="1" min="7" max="7" width="13.0"/>
    <col customWidth="1" min="8" max="9" width="40.0"/>
    <col customWidth="1" min="10" max="10" width="32.0"/>
    <col customWidth="1" min="11" max="11" width="26.0"/>
    <col customWidth="1" min="12" max="12" width="30.0"/>
    <col customWidth="1" min="13" max="13" width="10.0"/>
    <col customWidth="1" min="14" max="14" width="9.0"/>
    <col customWidth="1" min="15" max="15" width="34.0"/>
    <col customWidth="1" min="16" max="17" width="8.0"/>
    <col customWidth="1" min="18" max="18" width="10.0"/>
    <col customWidth="1" min="19" max="20" width="12.0"/>
    <col customWidth="1" min="21" max="26" width="8.71"/>
  </cols>
  <sheetData>
    <row r="1">
      <c r="A1" s="1" t="s">
        <v>3</v>
      </c>
    </row>
    <row r="2">
      <c r="A2" s="2" t="s">
        <v>6</v>
      </c>
    </row>
    <row r="4" ht="31.5" customHeight="1">
      <c r="A4" s="4" t="s">
        <v>9</v>
      </c>
      <c r="B4" s="4" t="s">
        <v>10</v>
      </c>
      <c r="C4" s="4" t="s">
        <v>17</v>
      </c>
      <c r="D4" s="4" t="s">
        <v>19</v>
      </c>
      <c r="E4" s="4" t="s">
        <v>21</v>
      </c>
      <c r="F4" s="4" t="s">
        <v>23</v>
      </c>
      <c r="G4" s="4" t="s">
        <v>25</v>
      </c>
      <c r="H4" s="4" t="s">
        <v>27</v>
      </c>
      <c r="I4" s="4" t="s">
        <v>28</v>
      </c>
      <c r="J4" s="4" t="s">
        <v>31</v>
      </c>
      <c r="K4" s="4" t="s">
        <v>36</v>
      </c>
      <c r="L4" s="4" t="s">
        <v>38</v>
      </c>
      <c r="M4" s="4" t="s">
        <v>42</v>
      </c>
      <c r="N4" s="4" t="s">
        <v>26</v>
      </c>
      <c r="O4" s="4" t="s">
        <v>47</v>
      </c>
      <c r="P4" s="4" t="s">
        <v>49</v>
      </c>
      <c r="Q4" s="4" t="s">
        <v>52</v>
      </c>
      <c r="R4" s="4" t="s">
        <v>57</v>
      </c>
      <c r="S4" s="4" t="s">
        <v>60</v>
      </c>
      <c r="T4" s="4" t="s">
        <v>64</v>
      </c>
    </row>
    <row r="5" ht="117.75" customHeight="1">
      <c r="A5" s="10" t="s">
        <v>69</v>
      </c>
      <c r="B5" s="12">
        <v>1.0</v>
      </c>
      <c r="C5" s="13" t="s">
        <v>86</v>
      </c>
      <c r="D5" s="13" t="s">
        <v>90</v>
      </c>
      <c r="E5" s="13" t="s">
        <v>91</v>
      </c>
      <c r="F5" s="13" t="s">
        <v>92</v>
      </c>
      <c r="G5" s="12" t="s">
        <v>93</v>
      </c>
      <c r="H5" s="13" t="s">
        <v>94</v>
      </c>
      <c r="I5" s="13" t="s">
        <v>95</v>
      </c>
      <c r="J5" s="13" t="s">
        <v>96</v>
      </c>
      <c r="K5" s="13" t="s">
        <v>97</v>
      </c>
      <c r="L5" s="13" t="s">
        <v>98</v>
      </c>
      <c r="M5" s="14">
        <v>16.0</v>
      </c>
      <c r="N5" s="15">
        <f>M5*'Parámetros'!$C$5</f>
        <v>120</v>
      </c>
      <c r="O5" s="13" t="s">
        <v>99</v>
      </c>
      <c r="P5" s="12">
        <f>COUNTIFS(Recursos!$F$5:$F$200,"*"&amp;A5&amp;"*",Recursos!$D$5:$D$200,"Rise")</f>
        <v>1</v>
      </c>
      <c r="Q5" s="12">
        <f>COUNTIFS(Recursos!$F$5:$F$200,"*"&amp;A5&amp;"*",Recursos!$D$5:$D$200,"Quiz formativo")</f>
        <v>1</v>
      </c>
      <c r="R5" s="12">
        <f>COUNTIFS(Recursos!$F$5:$F$200,"*"&amp;A5&amp;"*",Recursos!$D$5:$D$200,"Caso de aplicación")+COUNTIFS(Recursos!$F$5:$F$200,"*"&amp;A5&amp;"*",Recursos!$D$5:$D$200,"Hito proyecto")</f>
        <v>1</v>
      </c>
      <c r="S5" s="12">
        <f>COUNTIFS(Recursos!$F$5:$F$200,"*"&amp;A5&amp;"*",Recursos!$D$5:$D$200,"Evaluación sumativa")</f>
        <v>1</v>
      </c>
      <c r="T5" s="10" t="str">
        <f t="shared" ref="T5:T26" si="1">IF(AND(P5&gt;=1,Q5&gt;=1,R5&gt;=1,S5&gt;=1),"OK","Revisar")</f>
        <v>OK</v>
      </c>
    </row>
    <row r="6" ht="117.75" customHeight="1">
      <c r="A6" s="10" t="s">
        <v>100</v>
      </c>
      <c r="B6" s="12">
        <v>1.0</v>
      </c>
      <c r="C6" s="13" t="s">
        <v>86</v>
      </c>
      <c r="D6" s="13" t="s">
        <v>90</v>
      </c>
      <c r="E6" s="13" t="s">
        <v>101</v>
      </c>
      <c r="F6" s="13" t="s">
        <v>102</v>
      </c>
      <c r="G6" s="12" t="s">
        <v>103</v>
      </c>
      <c r="H6" s="13" t="s">
        <v>104</v>
      </c>
      <c r="I6" s="13" t="s">
        <v>105</v>
      </c>
      <c r="J6" s="13" t="s">
        <v>106</v>
      </c>
      <c r="K6" s="13" t="s">
        <v>107</v>
      </c>
      <c r="L6" s="13" t="s">
        <v>108</v>
      </c>
      <c r="M6" s="14">
        <v>16.0</v>
      </c>
      <c r="N6" s="15">
        <f>M6*'Parámetros'!$C$5</f>
        <v>120</v>
      </c>
      <c r="O6" s="13" t="s">
        <v>109</v>
      </c>
      <c r="P6" s="12">
        <f>COUNTIFS(Recursos!$F$5:$F$200,"*"&amp;A6&amp;"*",Recursos!$D$5:$D$200,"Rise")</f>
        <v>1</v>
      </c>
      <c r="Q6" s="12">
        <f>COUNTIFS(Recursos!$F$5:$F$200,"*"&amp;A6&amp;"*",Recursos!$D$5:$D$200,"Quiz formativo")</f>
        <v>1</v>
      </c>
      <c r="R6" s="12">
        <f>COUNTIFS(Recursos!$F$5:$F$200,"*"&amp;A6&amp;"*",Recursos!$D$5:$D$200,"Caso de aplicación")+COUNTIFS(Recursos!$F$5:$F$200,"*"&amp;A6&amp;"*",Recursos!$D$5:$D$200,"Hito proyecto")</f>
        <v>2</v>
      </c>
      <c r="S6" s="12">
        <f>COUNTIFS(Recursos!$F$5:$F$200,"*"&amp;A6&amp;"*",Recursos!$D$5:$D$200,"Evaluación sumativa")</f>
        <v>1</v>
      </c>
      <c r="T6" s="10" t="str">
        <f t="shared" si="1"/>
        <v>OK</v>
      </c>
    </row>
    <row r="7" ht="117.75" customHeight="1">
      <c r="A7" s="10" t="s">
        <v>112</v>
      </c>
      <c r="B7" s="12">
        <v>1.0</v>
      </c>
      <c r="C7" s="13" t="s">
        <v>86</v>
      </c>
      <c r="D7" s="13" t="s">
        <v>90</v>
      </c>
      <c r="E7" s="13" t="s">
        <v>113</v>
      </c>
      <c r="F7" s="13" t="s">
        <v>114</v>
      </c>
      <c r="G7" s="12" t="s">
        <v>103</v>
      </c>
      <c r="H7" s="13" t="s">
        <v>115</v>
      </c>
      <c r="I7" s="13" t="s">
        <v>117</v>
      </c>
      <c r="J7" s="13" t="s">
        <v>118</v>
      </c>
      <c r="K7" s="13" t="s">
        <v>119</v>
      </c>
      <c r="L7" s="13" t="s">
        <v>121</v>
      </c>
      <c r="M7" s="14">
        <v>16.0</v>
      </c>
      <c r="N7" s="15">
        <f>M7*'Parámetros'!$C$5</f>
        <v>120</v>
      </c>
      <c r="O7" s="13" t="s">
        <v>125</v>
      </c>
      <c r="P7" s="12">
        <f>COUNTIFS(Recursos!$F$5:$F$200,"*"&amp;A7&amp;"*",Recursos!$D$5:$D$200,"Rise")</f>
        <v>1</v>
      </c>
      <c r="Q7" s="12">
        <f>COUNTIFS(Recursos!$F$5:$F$200,"*"&amp;A7&amp;"*",Recursos!$D$5:$D$200,"Quiz formativo")</f>
        <v>1</v>
      </c>
      <c r="R7" s="12">
        <f>COUNTIFS(Recursos!$F$5:$F$200,"*"&amp;A7&amp;"*",Recursos!$D$5:$D$200,"Caso de aplicación")+COUNTIFS(Recursos!$F$5:$F$200,"*"&amp;A7&amp;"*",Recursos!$D$5:$D$200,"Hito proyecto")</f>
        <v>1</v>
      </c>
      <c r="S7" s="12">
        <f>COUNTIFS(Recursos!$F$5:$F$200,"*"&amp;A7&amp;"*",Recursos!$D$5:$D$200,"Evaluación sumativa")</f>
        <v>1</v>
      </c>
      <c r="T7" s="10" t="str">
        <f t="shared" si="1"/>
        <v>OK</v>
      </c>
    </row>
    <row r="8" ht="117.75" customHeight="1">
      <c r="A8" s="10" t="s">
        <v>128</v>
      </c>
      <c r="B8" s="12">
        <v>1.0</v>
      </c>
      <c r="C8" s="13" t="s">
        <v>86</v>
      </c>
      <c r="D8" s="13" t="s">
        <v>90</v>
      </c>
      <c r="E8" s="13" t="s">
        <v>129</v>
      </c>
      <c r="F8" s="13" t="s">
        <v>130</v>
      </c>
      <c r="G8" s="12" t="s">
        <v>131</v>
      </c>
      <c r="H8" s="13" t="s">
        <v>132</v>
      </c>
      <c r="I8" s="13" t="s">
        <v>134</v>
      </c>
      <c r="J8" s="13" t="s">
        <v>136</v>
      </c>
      <c r="K8" s="13" t="s">
        <v>137</v>
      </c>
      <c r="L8" s="13" t="s">
        <v>139</v>
      </c>
      <c r="M8" s="14">
        <v>17.0</v>
      </c>
      <c r="N8" s="15">
        <f>M8*'Parámetros'!$C$5</f>
        <v>127.5</v>
      </c>
      <c r="O8" s="13" t="s">
        <v>140</v>
      </c>
      <c r="P8" s="12">
        <f>COUNTIFS(Recursos!$F$5:$F$200,"*"&amp;A8&amp;"*",Recursos!$D$5:$D$200,"Rise")</f>
        <v>1</v>
      </c>
      <c r="Q8" s="12">
        <f>COUNTIFS(Recursos!$F$5:$F$200,"*"&amp;A8&amp;"*",Recursos!$D$5:$D$200,"Quiz formativo")</f>
        <v>1</v>
      </c>
      <c r="R8" s="12">
        <f>COUNTIFS(Recursos!$F$5:$F$200,"*"&amp;A8&amp;"*",Recursos!$D$5:$D$200,"Caso de aplicación")+COUNTIFS(Recursos!$F$5:$F$200,"*"&amp;A8&amp;"*",Recursos!$D$5:$D$200,"Hito proyecto")</f>
        <v>1</v>
      </c>
      <c r="S8" s="12">
        <f>COUNTIFS(Recursos!$F$5:$F$200,"*"&amp;A8&amp;"*",Recursos!$D$5:$D$200,"Evaluación sumativa")</f>
        <v>1</v>
      </c>
      <c r="T8" s="10" t="str">
        <f t="shared" si="1"/>
        <v>OK</v>
      </c>
    </row>
    <row r="9" ht="117.75" customHeight="1">
      <c r="A9" s="18" t="s">
        <v>148</v>
      </c>
      <c r="B9" s="19">
        <v>2.0</v>
      </c>
      <c r="C9" s="20" t="s">
        <v>127</v>
      </c>
      <c r="D9" s="20" t="s">
        <v>157</v>
      </c>
      <c r="E9" s="20" t="s">
        <v>158</v>
      </c>
      <c r="F9" s="20" t="s">
        <v>160</v>
      </c>
      <c r="G9" s="19" t="s">
        <v>103</v>
      </c>
      <c r="H9" s="20" t="s">
        <v>161</v>
      </c>
      <c r="I9" s="20" t="s">
        <v>162</v>
      </c>
      <c r="J9" s="20" t="s">
        <v>164</v>
      </c>
      <c r="K9" s="20" t="s">
        <v>165</v>
      </c>
      <c r="L9" s="20" t="s">
        <v>166</v>
      </c>
      <c r="M9" s="21">
        <v>18.0</v>
      </c>
      <c r="N9" s="22">
        <f>M9*'Parámetros'!$C$5</f>
        <v>135</v>
      </c>
      <c r="O9" s="20" t="s">
        <v>170</v>
      </c>
      <c r="P9" s="19">
        <f>COUNTIFS(Recursos!$F$5:$F$200,"*"&amp;A9&amp;"*",Recursos!$D$5:$D$200,"Rise")</f>
        <v>1</v>
      </c>
      <c r="Q9" s="19">
        <f>COUNTIFS(Recursos!$F$5:$F$200,"*"&amp;A9&amp;"*",Recursos!$D$5:$D$200,"Quiz formativo")</f>
        <v>1</v>
      </c>
      <c r="R9" s="19">
        <f>COUNTIFS(Recursos!$F$5:$F$200,"*"&amp;A9&amp;"*",Recursos!$D$5:$D$200,"Caso de aplicación")+COUNTIFS(Recursos!$F$5:$F$200,"*"&amp;A9&amp;"*",Recursos!$D$5:$D$200,"Hito proyecto")</f>
        <v>2</v>
      </c>
      <c r="S9" s="19">
        <f>COUNTIFS(Recursos!$F$5:$F$200,"*"&amp;A9&amp;"*",Recursos!$D$5:$D$200,"Evaluación sumativa")</f>
        <v>1</v>
      </c>
      <c r="T9" s="18" t="str">
        <f t="shared" si="1"/>
        <v>OK</v>
      </c>
    </row>
    <row r="10" ht="117.75" customHeight="1">
      <c r="A10" s="18" t="s">
        <v>181</v>
      </c>
      <c r="B10" s="19">
        <v>2.0</v>
      </c>
      <c r="C10" s="20" t="s">
        <v>127</v>
      </c>
      <c r="D10" s="20" t="s">
        <v>157</v>
      </c>
      <c r="E10" s="20" t="s">
        <v>183</v>
      </c>
      <c r="F10" s="20" t="s">
        <v>184</v>
      </c>
      <c r="G10" s="19" t="s">
        <v>103</v>
      </c>
      <c r="H10" s="20" t="s">
        <v>186</v>
      </c>
      <c r="I10" s="20" t="s">
        <v>187</v>
      </c>
      <c r="J10" s="20" t="s">
        <v>188</v>
      </c>
      <c r="K10" s="20" t="s">
        <v>189</v>
      </c>
      <c r="L10" s="20" t="s">
        <v>190</v>
      </c>
      <c r="M10" s="21">
        <v>18.0</v>
      </c>
      <c r="N10" s="22">
        <f>M10*'Parámetros'!$C$5</f>
        <v>135</v>
      </c>
      <c r="O10" s="20" t="s">
        <v>193</v>
      </c>
      <c r="P10" s="19">
        <f>COUNTIFS(Recursos!$F$5:$F$200,"*"&amp;A10&amp;"*",Recursos!$D$5:$D$200,"Rise")</f>
        <v>1</v>
      </c>
      <c r="Q10" s="19">
        <f>COUNTIFS(Recursos!$F$5:$F$200,"*"&amp;A10&amp;"*",Recursos!$D$5:$D$200,"Quiz formativo")</f>
        <v>1</v>
      </c>
      <c r="R10" s="19">
        <f>COUNTIFS(Recursos!$F$5:$F$200,"*"&amp;A10&amp;"*",Recursos!$D$5:$D$200,"Caso de aplicación")+COUNTIFS(Recursos!$F$5:$F$200,"*"&amp;A10&amp;"*",Recursos!$D$5:$D$200,"Hito proyecto")</f>
        <v>1</v>
      </c>
      <c r="S10" s="19">
        <f>COUNTIFS(Recursos!$F$5:$F$200,"*"&amp;A10&amp;"*",Recursos!$D$5:$D$200,"Evaluación sumativa")</f>
        <v>1</v>
      </c>
      <c r="T10" s="18" t="str">
        <f t="shared" si="1"/>
        <v>OK</v>
      </c>
    </row>
    <row r="11" ht="117.75" customHeight="1">
      <c r="A11" s="18" t="s">
        <v>208</v>
      </c>
      <c r="B11" s="19">
        <v>2.0</v>
      </c>
      <c r="C11" s="20" t="s">
        <v>127</v>
      </c>
      <c r="D11" s="20" t="s">
        <v>157</v>
      </c>
      <c r="E11" s="20" t="s">
        <v>209</v>
      </c>
      <c r="F11" s="20" t="s">
        <v>210</v>
      </c>
      <c r="G11" s="19" t="s">
        <v>103</v>
      </c>
      <c r="H11" s="20" t="s">
        <v>211</v>
      </c>
      <c r="I11" s="20" t="s">
        <v>212</v>
      </c>
      <c r="J11" s="20" t="s">
        <v>213</v>
      </c>
      <c r="K11" s="20" t="s">
        <v>214</v>
      </c>
      <c r="L11" s="20" t="s">
        <v>215</v>
      </c>
      <c r="M11" s="21">
        <v>17.0</v>
      </c>
      <c r="N11" s="22">
        <f>M11*'Parámetros'!$C$5</f>
        <v>127.5</v>
      </c>
      <c r="O11" s="20" t="s">
        <v>217</v>
      </c>
      <c r="P11" s="19">
        <f>COUNTIFS(Recursos!$F$5:$F$200,"*"&amp;A11&amp;"*",Recursos!$D$5:$D$200,"Rise")</f>
        <v>1</v>
      </c>
      <c r="Q11" s="19">
        <f>COUNTIFS(Recursos!$F$5:$F$200,"*"&amp;A11&amp;"*",Recursos!$D$5:$D$200,"Quiz formativo")</f>
        <v>1</v>
      </c>
      <c r="R11" s="19">
        <f>COUNTIFS(Recursos!$F$5:$F$200,"*"&amp;A11&amp;"*",Recursos!$D$5:$D$200,"Caso de aplicación")+COUNTIFS(Recursos!$F$5:$F$200,"*"&amp;A11&amp;"*",Recursos!$D$5:$D$200,"Hito proyecto")</f>
        <v>2</v>
      </c>
      <c r="S11" s="19">
        <f>COUNTIFS(Recursos!$F$5:$F$200,"*"&amp;A11&amp;"*",Recursos!$D$5:$D$200,"Evaluación sumativa")</f>
        <v>1</v>
      </c>
      <c r="T11" s="18" t="str">
        <f t="shared" si="1"/>
        <v>OK</v>
      </c>
    </row>
    <row r="12" ht="117.75" customHeight="1">
      <c r="A12" s="18" t="s">
        <v>222</v>
      </c>
      <c r="B12" s="19">
        <v>2.0</v>
      </c>
      <c r="C12" s="20" t="s">
        <v>127</v>
      </c>
      <c r="D12" s="20" t="s">
        <v>157</v>
      </c>
      <c r="E12" s="20" t="s">
        <v>230</v>
      </c>
      <c r="F12" s="20" t="s">
        <v>231</v>
      </c>
      <c r="G12" s="19" t="s">
        <v>131</v>
      </c>
      <c r="H12" s="20" t="s">
        <v>232</v>
      </c>
      <c r="I12" s="20" t="s">
        <v>233</v>
      </c>
      <c r="J12" s="20" t="s">
        <v>234</v>
      </c>
      <c r="K12" s="20" t="s">
        <v>223</v>
      </c>
      <c r="L12" s="20" t="s">
        <v>236</v>
      </c>
      <c r="M12" s="21">
        <v>18.0</v>
      </c>
      <c r="N12" s="22">
        <f>M12*'Parámetros'!$C$5</f>
        <v>135</v>
      </c>
      <c r="O12" s="20" t="s">
        <v>237</v>
      </c>
      <c r="P12" s="19">
        <f>COUNTIFS(Recursos!$F$5:$F$200,"*"&amp;A12&amp;"*",Recursos!$D$5:$D$200,"Rise")</f>
        <v>1</v>
      </c>
      <c r="Q12" s="19">
        <f>COUNTIFS(Recursos!$F$5:$F$200,"*"&amp;A12&amp;"*",Recursos!$D$5:$D$200,"Quiz formativo")</f>
        <v>1</v>
      </c>
      <c r="R12" s="19">
        <f>COUNTIFS(Recursos!$F$5:$F$200,"*"&amp;A12&amp;"*",Recursos!$D$5:$D$200,"Caso de aplicación")+COUNTIFS(Recursos!$F$5:$F$200,"*"&amp;A12&amp;"*",Recursos!$D$5:$D$200,"Hito proyecto")</f>
        <v>1</v>
      </c>
      <c r="S12" s="19">
        <f>COUNTIFS(Recursos!$F$5:$F$200,"*"&amp;A12&amp;"*",Recursos!$D$5:$D$200,"Evaluación sumativa")</f>
        <v>1</v>
      </c>
      <c r="T12" s="18" t="str">
        <f t="shared" si="1"/>
        <v>OK</v>
      </c>
    </row>
    <row r="13" ht="117.75" customHeight="1">
      <c r="A13" s="10" t="s">
        <v>229</v>
      </c>
      <c r="B13" s="12">
        <v>3.0</v>
      </c>
      <c r="C13" s="13" t="s">
        <v>198</v>
      </c>
      <c r="D13" s="13" t="s">
        <v>252</v>
      </c>
      <c r="E13" s="13" t="s">
        <v>253</v>
      </c>
      <c r="F13" s="13" t="s">
        <v>254</v>
      </c>
      <c r="G13" s="12" t="s">
        <v>103</v>
      </c>
      <c r="H13" s="13" t="s">
        <v>257</v>
      </c>
      <c r="I13" s="13" t="s">
        <v>258</v>
      </c>
      <c r="J13" s="13" t="s">
        <v>259</v>
      </c>
      <c r="K13" s="13" t="s">
        <v>238</v>
      </c>
      <c r="L13" s="13" t="s">
        <v>260</v>
      </c>
      <c r="M13" s="14">
        <v>18.0</v>
      </c>
      <c r="N13" s="15">
        <f>M13*'Parámetros'!$C$5</f>
        <v>135</v>
      </c>
      <c r="O13" s="13" t="s">
        <v>266</v>
      </c>
      <c r="P13" s="12">
        <f>COUNTIFS(Recursos!$F$5:$F$200,"*"&amp;A13&amp;"*",Recursos!$D$5:$D$200,"Rise")</f>
        <v>1</v>
      </c>
      <c r="Q13" s="12">
        <f>COUNTIFS(Recursos!$F$5:$F$200,"*"&amp;A13&amp;"*",Recursos!$D$5:$D$200,"Quiz formativo")</f>
        <v>1</v>
      </c>
      <c r="R13" s="12">
        <f>COUNTIFS(Recursos!$F$5:$F$200,"*"&amp;A13&amp;"*",Recursos!$D$5:$D$200,"Caso de aplicación")+COUNTIFS(Recursos!$F$5:$F$200,"*"&amp;A13&amp;"*",Recursos!$D$5:$D$200,"Hito proyecto")</f>
        <v>1</v>
      </c>
      <c r="S13" s="12">
        <f>COUNTIFS(Recursos!$F$5:$F$200,"*"&amp;A13&amp;"*",Recursos!$D$5:$D$200,"Evaluación sumativa")</f>
        <v>1</v>
      </c>
      <c r="T13" s="10" t="str">
        <f t="shared" si="1"/>
        <v>OK</v>
      </c>
    </row>
    <row r="14" ht="117.75" customHeight="1">
      <c r="A14" s="10" t="s">
        <v>243</v>
      </c>
      <c r="B14" s="12">
        <v>3.0</v>
      </c>
      <c r="C14" s="13" t="s">
        <v>198</v>
      </c>
      <c r="D14" s="13" t="s">
        <v>252</v>
      </c>
      <c r="E14" s="13" t="s">
        <v>284</v>
      </c>
      <c r="F14" s="13" t="s">
        <v>285</v>
      </c>
      <c r="G14" s="12" t="s">
        <v>245</v>
      </c>
      <c r="H14" s="13" t="s">
        <v>286</v>
      </c>
      <c r="I14" s="13" t="s">
        <v>287</v>
      </c>
      <c r="J14" s="13" t="s">
        <v>288</v>
      </c>
      <c r="K14" s="13" t="s">
        <v>246</v>
      </c>
      <c r="L14" s="13" t="s">
        <v>289</v>
      </c>
      <c r="M14" s="14">
        <v>18.0</v>
      </c>
      <c r="N14" s="15">
        <f>M14*'Parámetros'!$C$5</f>
        <v>135</v>
      </c>
      <c r="O14" s="13" t="s">
        <v>290</v>
      </c>
      <c r="P14" s="12">
        <f>COUNTIFS(Recursos!$F$5:$F$200,"*"&amp;A14&amp;"*",Recursos!$D$5:$D$200,"Rise")</f>
        <v>1</v>
      </c>
      <c r="Q14" s="12">
        <f>COUNTIFS(Recursos!$F$5:$F$200,"*"&amp;A14&amp;"*",Recursos!$D$5:$D$200,"Quiz formativo")</f>
        <v>1</v>
      </c>
      <c r="R14" s="12">
        <f>COUNTIFS(Recursos!$F$5:$F$200,"*"&amp;A14&amp;"*",Recursos!$D$5:$D$200,"Caso de aplicación")+COUNTIFS(Recursos!$F$5:$F$200,"*"&amp;A14&amp;"*",Recursos!$D$5:$D$200,"Hito proyecto")</f>
        <v>1</v>
      </c>
      <c r="S14" s="12">
        <f>COUNTIFS(Recursos!$F$5:$F$200,"*"&amp;A14&amp;"*",Recursos!$D$5:$D$200,"Evaluación sumativa")</f>
        <v>1</v>
      </c>
      <c r="T14" s="10" t="str">
        <f t="shared" si="1"/>
        <v>OK</v>
      </c>
    </row>
    <row r="15" ht="117.75" customHeight="1">
      <c r="A15" s="10" t="s">
        <v>251</v>
      </c>
      <c r="B15" s="12">
        <v>3.0</v>
      </c>
      <c r="C15" s="13" t="s">
        <v>198</v>
      </c>
      <c r="D15" s="13" t="s">
        <v>252</v>
      </c>
      <c r="E15" s="13" t="s">
        <v>312</v>
      </c>
      <c r="F15" s="13" t="s">
        <v>313</v>
      </c>
      <c r="G15" s="12" t="s">
        <v>103</v>
      </c>
      <c r="H15" s="13" t="s">
        <v>315</v>
      </c>
      <c r="I15" s="13" t="s">
        <v>317</v>
      </c>
      <c r="J15" s="13" t="s">
        <v>318</v>
      </c>
      <c r="K15" s="13" t="s">
        <v>261</v>
      </c>
      <c r="L15" s="13" t="s">
        <v>319</v>
      </c>
      <c r="M15" s="14">
        <v>17.0</v>
      </c>
      <c r="N15" s="15">
        <f>M15*'Parámetros'!$C$5</f>
        <v>127.5</v>
      </c>
      <c r="O15" s="13" t="s">
        <v>323</v>
      </c>
      <c r="P15" s="12">
        <f>COUNTIFS(Recursos!$F$5:$F$200,"*"&amp;A15&amp;"*",Recursos!$D$5:$D$200,"Rise")</f>
        <v>1</v>
      </c>
      <c r="Q15" s="12">
        <f>COUNTIFS(Recursos!$F$5:$F$200,"*"&amp;A15&amp;"*",Recursos!$D$5:$D$200,"Quiz formativo")</f>
        <v>1</v>
      </c>
      <c r="R15" s="12">
        <f>COUNTIFS(Recursos!$F$5:$F$200,"*"&amp;A15&amp;"*",Recursos!$D$5:$D$200,"Caso de aplicación")+COUNTIFS(Recursos!$F$5:$F$200,"*"&amp;A15&amp;"*",Recursos!$D$5:$D$200,"Hito proyecto")</f>
        <v>1</v>
      </c>
      <c r="S15" s="12">
        <f>COUNTIFS(Recursos!$F$5:$F$200,"*"&amp;A15&amp;"*",Recursos!$D$5:$D$200,"Evaluación sumativa")</f>
        <v>1</v>
      </c>
      <c r="T15" s="10" t="str">
        <f t="shared" si="1"/>
        <v>OK</v>
      </c>
    </row>
    <row r="16" ht="117.75" customHeight="1">
      <c r="A16" s="10" t="s">
        <v>267</v>
      </c>
      <c r="B16" s="12">
        <v>3.0</v>
      </c>
      <c r="C16" s="13" t="s">
        <v>198</v>
      </c>
      <c r="D16" s="13" t="s">
        <v>252</v>
      </c>
      <c r="E16" s="13" t="s">
        <v>342</v>
      </c>
      <c r="F16" s="13" t="s">
        <v>343</v>
      </c>
      <c r="G16" s="12" t="s">
        <v>131</v>
      </c>
      <c r="H16" s="13" t="s">
        <v>344</v>
      </c>
      <c r="I16" s="13" t="s">
        <v>345</v>
      </c>
      <c r="J16" s="13" t="s">
        <v>346</v>
      </c>
      <c r="K16" s="13" t="s">
        <v>272</v>
      </c>
      <c r="L16" s="13" t="s">
        <v>347</v>
      </c>
      <c r="M16" s="14">
        <v>18.0</v>
      </c>
      <c r="N16" s="15">
        <f>M16*'Parámetros'!$C$5</f>
        <v>135</v>
      </c>
      <c r="O16" s="13" t="s">
        <v>348</v>
      </c>
      <c r="P16" s="12">
        <f>COUNTIFS(Recursos!$F$5:$F$200,"*"&amp;A16&amp;"*",Recursos!$D$5:$D$200,"Rise")</f>
        <v>1</v>
      </c>
      <c r="Q16" s="12">
        <f>COUNTIFS(Recursos!$F$5:$F$200,"*"&amp;A16&amp;"*",Recursos!$D$5:$D$200,"Quiz formativo")</f>
        <v>1</v>
      </c>
      <c r="R16" s="12">
        <f>COUNTIFS(Recursos!$F$5:$F$200,"*"&amp;A16&amp;"*",Recursos!$D$5:$D$200,"Caso de aplicación")+COUNTIFS(Recursos!$F$5:$F$200,"*"&amp;A16&amp;"*",Recursos!$D$5:$D$200,"Hito proyecto")</f>
        <v>2</v>
      </c>
      <c r="S16" s="12">
        <f>COUNTIFS(Recursos!$F$5:$F$200,"*"&amp;A16&amp;"*",Recursos!$D$5:$D$200,"Evaluación sumativa")</f>
        <v>1</v>
      </c>
      <c r="T16" s="10" t="str">
        <f t="shared" si="1"/>
        <v>OK</v>
      </c>
    </row>
    <row r="17" ht="117.75" customHeight="1">
      <c r="A17" s="18" t="s">
        <v>279</v>
      </c>
      <c r="B17" s="19">
        <v>4.0</v>
      </c>
      <c r="C17" s="20" t="s">
        <v>255</v>
      </c>
      <c r="D17" s="20" t="s">
        <v>372</v>
      </c>
      <c r="E17" s="20" t="s">
        <v>373</v>
      </c>
      <c r="F17" s="20" t="s">
        <v>374</v>
      </c>
      <c r="G17" s="19" t="s">
        <v>245</v>
      </c>
      <c r="H17" s="20" t="s">
        <v>376</v>
      </c>
      <c r="I17" s="20" t="s">
        <v>377</v>
      </c>
      <c r="J17" s="20" t="s">
        <v>378</v>
      </c>
      <c r="K17" s="20" t="s">
        <v>295</v>
      </c>
      <c r="L17" s="20" t="s">
        <v>381</v>
      </c>
      <c r="M17" s="21">
        <v>15.0</v>
      </c>
      <c r="N17" s="22">
        <f>M17*'Parámetros'!$C$5</f>
        <v>112.5</v>
      </c>
      <c r="O17" s="20" t="s">
        <v>384</v>
      </c>
      <c r="P17" s="19">
        <f>COUNTIFS(Recursos!$F$5:$F$200,"*"&amp;A17&amp;"*",Recursos!$D$5:$D$200,"Rise")</f>
        <v>1</v>
      </c>
      <c r="Q17" s="19">
        <f>COUNTIFS(Recursos!$F$5:$F$200,"*"&amp;A17&amp;"*",Recursos!$D$5:$D$200,"Quiz formativo")</f>
        <v>1</v>
      </c>
      <c r="R17" s="19">
        <f>COUNTIFS(Recursos!$F$5:$F$200,"*"&amp;A17&amp;"*",Recursos!$D$5:$D$200,"Caso de aplicación")+COUNTIFS(Recursos!$F$5:$F$200,"*"&amp;A17&amp;"*",Recursos!$D$5:$D$200,"Hito proyecto")</f>
        <v>1</v>
      </c>
      <c r="S17" s="19">
        <f>COUNTIFS(Recursos!$F$5:$F$200,"*"&amp;A17&amp;"*",Recursos!$D$5:$D$200,"Evaluación sumativa")</f>
        <v>1</v>
      </c>
      <c r="T17" s="18" t="str">
        <f t="shared" si="1"/>
        <v>OK</v>
      </c>
    </row>
    <row r="18" ht="117.75" customHeight="1">
      <c r="A18" s="18" t="s">
        <v>302</v>
      </c>
      <c r="B18" s="19">
        <v>4.0</v>
      </c>
      <c r="C18" s="20" t="s">
        <v>255</v>
      </c>
      <c r="D18" s="20" t="s">
        <v>372</v>
      </c>
      <c r="E18" s="20" t="s">
        <v>396</v>
      </c>
      <c r="F18" s="20" t="s">
        <v>397</v>
      </c>
      <c r="G18" s="19" t="s">
        <v>103</v>
      </c>
      <c r="H18" s="20" t="s">
        <v>398</v>
      </c>
      <c r="I18" s="20" t="s">
        <v>399</v>
      </c>
      <c r="J18" s="20" t="s">
        <v>401</v>
      </c>
      <c r="K18" s="20" t="s">
        <v>306</v>
      </c>
      <c r="L18" s="20" t="s">
        <v>402</v>
      </c>
      <c r="M18" s="21">
        <v>15.0</v>
      </c>
      <c r="N18" s="22">
        <f>M18*'Parámetros'!$C$5</f>
        <v>112.5</v>
      </c>
      <c r="O18" s="20" t="s">
        <v>408</v>
      </c>
      <c r="P18" s="19">
        <f>COUNTIFS(Recursos!$F$5:$F$200,"*"&amp;A18&amp;"*",Recursos!$D$5:$D$200,"Rise")</f>
        <v>1</v>
      </c>
      <c r="Q18" s="19">
        <f>COUNTIFS(Recursos!$F$5:$F$200,"*"&amp;A18&amp;"*",Recursos!$D$5:$D$200,"Quiz formativo")</f>
        <v>1</v>
      </c>
      <c r="R18" s="19">
        <f>COUNTIFS(Recursos!$F$5:$F$200,"*"&amp;A18&amp;"*",Recursos!$D$5:$D$200,"Caso de aplicación")+COUNTIFS(Recursos!$F$5:$F$200,"*"&amp;A18&amp;"*",Recursos!$D$5:$D$200,"Hito proyecto")</f>
        <v>2</v>
      </c>
      <c r="S18" s="19">
        <f>COUNTIFS(Recursos!$F$5:$F$200,"*"&amp;A18&amp;"*",Recursos!$D$5:$D$200,"Evaluación sumativa")</f>
        <v>1</v>
      </c>
      <c r="T18" s="18" t="str">
        <f t="shared" si="1"/>
        <v>OK</v>
      </c>
    </row>
    <row r="19" ht="117.75" customHeight="1">
      <c r="A19" s="18" t="s">
        <v>316</v>
      </c>
      <c r="B19" s="19">
        <v>4.0</v>
      </c>
      <c r="C19" s="20" t="s">
        <v>255</v>
      </c>
      <c r="D19" s="20" t="s">
        <v>372</v>
      </c>
      <c r="E19" s="20" t="s">
        <v>418</v>
      </c>
      <c r="F19" s="20" t="s">
        <v>419</v>
      </c>
      <c r="G19" s="19" t="s">
        <v>103</v>
      </c>
      <c r="H19" s="20" t="s">
        <v>420</v>
      </c>
      <c r="I19" s="20" t="s">
        <v>421</v>
      </c>
      <c r="J19" s="20" t="s">
        <v>422</v>
      </c>
      <c r="K19" s="20" t="s">
        <v>327</v>
      </c>
      <c r="L19" s="20" t="s">
        <v>423</v>
      </c>
      <c r="M19" s="21">
        <v>14.0</v>
      </c>
      <c r="N19" s="22">
        <f>M19*'Parámetros'!$C$5</f>
        <v>105</v>
      </c>
      <c r="O19" s="20" t="s">
        <v>425</v>
      </c>
      <c r="P19" s="19">
        <f>COUNTIFS(Recursos!$F$5:$F$200,"*"&amp;A19&amp;"*",Recursos!$D$5:$D$200,"Rise")</f>
        <v>1</v>
      </c>
      <c r="Q19" s="19">
        <f>COUNTIFS(Recursos!$F$5:$F$200,"*"&amp;A19&amp;"*",Recursos!$D$5:$D$200,"Quiz formativo")</f>
        <v>1</v>
      </c>
      <c r="R19" s="19">
        <f>COUNTIFS(Recursos!$F$5:$F$200,"*"&amp;A19&amp;"*",Recursos!$D$5:$D$200,"Caso de aplicación")+COUNTIFS(Recursos!$F$5:$F$200,"*"&amp;A19&amp;"*",Recursos!$D$5:$D$200,"Hito proyecto")</f>
        <v>1</v>
      </c>
      <c r="S19" s="19">
        <f>COUNTIFS(Recursos!$F$5:$F$200,"*"&amp;A19&amp;"*",Recursos!$D$5:$D$200,"Evaluación sumativa")</f>
        <v>1</v>
      </c>
      <c r="T19" s="18" t="str">
        <f t="shared" si="1"/>
        <v>OK</v>
      </c>
    </row>
    <row r="20" ht="117.75" customHeight="1">
      <c r="A20" s="18" t="s">
        <v>333</v>
      </c>
      <c r="B20" s="19">
        <v>4.0</v>
      </c>
      <c r="C20" s="20" t="s">
        <v>255</v>
      </c>
      <c r="D20" s="20" t="s">
        <v>372</v>
      </c>
      <c r="E20" s="20" t="s">
        <v>434</v>
      </c>
      <c r="F20" s="20" t="s">
        <v>435</v>
      </c>
      <c r="G20" s="19" t="s">
        <v>335</v>
      </c>
      <c r="H20" s="20" t="s">
        <v>436</v>
      </c>
      <c r="I20" s="20" t="s">
        <v>438</v>
      </c>
      <c r="J20" s="20" t="s">
        <v>440</v>
      </c>
      <c r="K20" s="20" t="s">
        <v>336</v>
      </c>
      <c r="L20" s="20" t="s">
        <v>442</v>
      </c>
      <c r="M20" s="21">
        <v>15.0</v>
      </c>
      <c r="N20" s="22">
        <f>M20*'Parámetros'!$C$5</f>
        <v>112.5</v>
      </c>
      <c r="O20" s="20" t="s">
        <v>443</v>
      </c>
      <c r="P20" s="19">
        <f>COUNTIFS(Recursos!$F$5:$F$200,"*"&amp;A20&amp;"*",Recursos!$D$5:$D$200,"Rise")</f>
        <v>1</v>
      </c>
      <c r="Q20" s="19">
        <f>COUNTIFS(Recursos!$F$5:$F$200,"*"&amp;A20&amp;"*",Recursos!$D$5:$D$200,"Quiz formativo")</f>
        <v>1</v>
      </c>
      <c r="R20" s="19">
        <f>COUNTIFS(Recursos!$F$5:$F$200,"*"&amp;A20&amp;"*",Recursos!$D$5:$D$200,"Caso de aplicación")+COUNTIFS(Recursos!$F$5:$F$200,"*"&amp;A20&amp;"*",Recursos!$D$5:$D$200,"Hito proyecto")</f>
        <v>2</v>
      </c>
      <c r="S20" s="19">
        <f>COUNTIFS(Recursos!$F$5:$F$200,"*"&amp;A20&amp;"*",Recursos!$D$5:$D$200,"Evaluación sumativa")</f>
        <v>1</v>
      </c>
      <c r="T20" s="18" t="str">
        <f t="shared" si="1"/>
        <v>OK</v>
      </c>
    </row>
    <row r="21" ht="117.75" customHeight="1">
      <c r="A21" s="10" t="s">
        <v>340</v>
      </c>
      <c r="B21" s="12">
        <v>5.0</v>
      </c>
      <c r="C21" s="13" t="s">
        <v>311</v>
      </c>
      <c r="D21" s="13" t="s">
        <v>449</v>
      </c>
      <c r="E21" s="13" t="s">
        <v>450</v>
      </c>
      <c r="F21" s="13" t="s">
        <v>451</v>
      </c>
      <c r="G21" s="12" t="s">
        <v>245</v>
      </c>
      <c r="H21" s="13" t="s">
        <v>452</v>
      </c>
      <c r="I21" s="13" t="s">
        <v>453</v>
      </c>
      <c r="J21" s="13" t="s">
        <v>454</v>
      </c>
      <c r="K21" s="13" t="s">
        <v>349</v>
      </c>
      <c r="L21" s="13" t="s">
        <v>455</v>
      </c>
      <c r="M21" s="14">
        <v>15.0</v>
      </c>
      <c r="N21" s="15">
        <f>M21*'Parámetros'!$C$5</f>
        <v>112.5</v>
      </c>
      <c r="O21" s="13" t="s">
        <v>457</v>
      </c>
      <c r="P21" s="12">
        <f>COUNTIFS(Recursos!$F$5:$F$200,"*"&amp;A21&amp;"*",Recursos!$D$5:$D$200,"Rise")</f>
        <v>1</v>
      </c>
      <c r="Q21" s="12">
        <f>COUNTIFS(Recursos!$F$5:$F$200,"*"&amp;A21&amp;"*",Recursos!$D$5:$D$200,"Quiz formativo")</f>
        <v>1</v>
      </c>
      <c r="R21" s="12">
        <f>COUNTIFS(Recursos!$F$5:$F$200,"*"&amp;A21&amp;"*",Recursos!$D$5:$D$200,"Caso de aplicación")+COUNTIFS(Recursos!$F$5:$F$200,"*"&amp;A21&amp;"*",Recursos!$D$5:$D$200,"Hito proyecto")</f>
        <v>2</v>
      </c>
      <c r="S21" s="12">
        <f>COUNTIFS(Recursos!$F$5:$F$200,"*"&amp;A21&amp;"*",Recursos!$D$5:$D$200,"Evaluación sumativa")</f>
        <v>1</v>
      </c>
      <c r="T21" s="10" t="str">
        <f t="shared" si="1"/>
        <v>OK</v>
      </c>
    </row>
    <row r="22" ht="117.75" customHeight="1">
      <c r="A22" s="10" t="s">
        <v>355</v>
      </c>
      <c r="B22" s="12">
        <v>5.0</v>
      </c>
      <c r="C22" s="13" t="s">
        <v>311</v>
      </c>
      <c r="D22" s="13" t="s">
        <v>449</v>
      </c>
      <c r="E22" s="13" t="s">
        <v>461</v>
      </c>
      <c r="F22" s="13" t="s">
        <v>462</v>
      </c>
      <c r="G22" s="12" t="s">
        <v>335</v>
      </c>
      <c r="H22" s="13" t="s">
        <v>463</v>
      </c>
      <c r="I22" s="13" t="s">
        <v>464</v>
      </c>
      <c r="J22" s="13" t="s">
        <v>465</v>
      </c>
      <c r="K22" s="13" t="s">
        <v>357</v>
      </c>
      <c r="L22" s="13" t="s">
        <v>467</v>
      </c>
      <c r="M22" s="14">
        <v>14.0</v>
      </c>
      <c r="N22" s="15">
        <f>M22*'Parámetros'!$C$5</f>
        <v>105</v>
      </c>
      <c r="O22" s="13" t="s">
        <v>469</v>
      </c>
      <c r="P22" s="12">
        <f>COUNTIFS(Recursos!$F$5:$F$200,"*"&amp;A22&amp;"*",Recursos!$D$5:$D$200,"Rise")</f>
        <v>1</v>
      </c>
      <c r="Q22" s="12">
        <f>COUNTIFS(Recursos!$F$5:$F$200,"*"&amp;A22&amp;"*",Recursos!$D$5:$D$200,"Quiz formativo")</f>
        <v>1</v>
      </c>
      <c r="R22" s="12">
        <f>COUNTIFS(Recursos!$F$5:$F$200,"*"&amp;A22&amp;"*",Recursos!$D$5:$D$200,"Caso de aplicación")+COUNTIFS(Recursos!$F$5:$F$200,"*"&amp;A22&amp;"*",Recursos!$D$5:$D$200,"Hito proyecto")</f>
        <v>1</v>
      </c>
      <c r="S22" s="12">
        <f>COUNTIFS(Recursos!$F$5:$F$200,"*"&amp;A22&amp;"*",Recursos!$D$5:$D$200,"Evaluación sumativa")</f>
        <v>1</v>
      </c>
      <c r="T22" s="10" t="str">
        <f t="shared" si="1"/>
        <v>OK</v>
      </c>
    </row>
    <row r="23" ht="117.75" customHeight="1">
      <c r="A23" s="10" t="s">
        <v>361</v>
      </c>
      <c r="B23" s="12">
        <v>5.0</v>
      </c>
      <c r="C23" s="13" t="s">
        <v>311</v>
      </c>
      <c r="D23" s="13" t="s">
        <v>449</v>
      </c>
      <c r="E23" s="13" t="s">
        <v>477</v>
      </c>
      <c r="F23" s="13" t="s">
        <v>478</v>
      </c>
      <c r="G23" s="12" t="s">
        <v>131</v>
      </c>
      <c r="H23" s="13" t="s">
        <v>480</v>
      </c>
      <c r="I23" s="13" t="s">
        <v>481</v>
      </c>
      <c r="J23" s="13" t="s">
        <v>482</v>
      </c>
      <c r="K23" s="13" t="s">
        <v>365</v>
      </c>
      <c r="L23" s="13" t="s">
        <v>483</v>
      </c>
      <c r="M23" s="14">
        <v>14.0</v>
      </c>
      <c r="N23" s="15">
        <f>M23*'Parámetros'!$C$5</f>
        <v>105</v>
      </c>
      <c r="O23" s="13" t="s">
        <v>484</v>
      </c>
      <c r="P23" s="12">
        <f>COUNTIFS(Recursos!$F$5:$F$200,"*"&amp;A23&amp;"*",Recursos!$D$5:$D$200,"Rise")</f>
        <v>1</v>
      </c>
      <c r="Q23" s="12">
        <f>COUNTIFS(Recursos!$F$5:$F$200,"*"&amp;A23&amp;"*",Recursos!$D$5:$D$200,"Quiz formativo")</f>
        <v>1</v>
      </c>
      <c r="R23" s="12">
        <f>COUNTIFS(Recursos!$F$5:$F$200,"*"&amp;A23&amp;"*",Recursos!$D$5:$D$200,"Caso de aplicación")+COUNTIFS(Recursos!$F$5:$F$200,"*"&amp;A23&amp;"*",Recursos!$D$5:$D$200,"Hito proyecto")</f>
        <v>3</v>
      </c>
      <c r="S23" s="12">
        <f>COUNTIFS(Recursos!$F$5:$F$200,"*"&amp;A23&amp;"*",Recursos!$D$5:$D$200,"Evaluación sumativa")</f>
        <v>1</v>
      </c>
      <c r="T23" s="10" t="str">
        <f t="shared" si="1"/>
        <v>OK</v>
      </c>
    </row>
    <row r="24" ht="117.75" customHeight="1">
      <c r="A24" s="18" t="s">
        <v>370</v>
      </c>
      <c r="B24" s="19">
        <v>6.0</v>
      </c>
      <c r="C24" s="20" t="s">
        <v>364</v>
      </c>
      <c r="D24" s="20" t="s">
        <v>494</v>
      </c>
      <c r="E24" s="20" t="s">
        <v>496</v>
      </c>
      <c r="F24" s="20" t="s">
        <v>497</v>
      </c>
      <c r="G24" s="19" t="s">
        <v>245</v>
      </c>
      <c r="H24" s="20" t="s">
        <v>498</v>
      </c>
      <c r="I24" s="20" t="s">
        <v>499</v>
      </c>
      <c r="J24" s="20" t="s">
        <v>500</v>
      </c>
      <c r="K24" s="20" t="s">
        <v>379</v>
      </c>
      <c r="L24" s="20" t="s">
        <v>502</v>
      </c>
      <c r="M24" s="21">
        <v>10.0</v>
      </c>
      <c r="N24" s="22">
        <f>M24*'Parámetros'!$C$5</f>
        <v>75</v>
      </c>
      <c r="O24" s="20" t="s">
        <v>504</v>
      </c>
      <c r="P24" s="19">
        <f>COUNTIFS(Recursos!$F$5:$F$200,"*"&amp;A24&amp;"*",Recursos!$D$5:$D$200,"Rise")</f>
        <v>1</v>
      </c>
      <c r="Q24" s="19">
        <f>COUNTIFS(Recursos!$F$5:$F$200,"*"&amp;A24&amp;"*",Recursos!$D$5:$D$200,"Quiz formativo")</f>
        <v>1</v>
      </c>
      <c r="R24" s="19">
        <f>COUNTIFS(Recursos!$F$5:$F$200,"*"&amp;A24&amp;"*",Recursos!$D$5:$D$200,"Caso de aplicación")+COUNTIFS(Recursos!$F$5:$F$200,"*"&amp;A24&amp;"*",Recursos!$D$5:$D$200,"Hito proyecto")</f>
        <v>1</v>
      </c>
      <c r="S24" s="19">
        <f>COUNTIFS(Recursos!$F$5:$F$200,"*"&amp;A24&amp;"*",Recursos!$D$5:$D$200,"Evaluación sumativa")</f>
        <v>1</v>
      </c>
      <c r="T24" s="18" t="str">
        <f t="shared" si="1"/>
        <v>OK</v>
      </c>
    </row>
    <row r="25" ht="117.75" customHeight="1">
      <c r="A25" s="18" t="s">
        <v>386</v>
      </c>
      <c r="B25" s="19">
        <v>6.0</v>
      </c>
      <c r="C25" s="20" t="s">
        <v>364</v>
      </c>
      <c r="D25" s="20" t="s">
        <v>494</v>
      </c>
      <c r="E25" s="20" t="s">
        <v>510</v>
      </c>
      <c r="F25" s="20" t="s">
        <v>511</v>
      </c>
      <c r="G25" s="19" t="s">
        <v>335</v>
      </c>
      <c r="H25" s="20" t="s">
        <v>512</v>
      </c>
      <c r="I25" s="20" t="s">
        <v>513</v>
      </c>
      <c r="J25" s="20" t="s">
        <v>514</v>
      </c>
      <c r="K25" s="20" t="s">
        <v>379</v>
      </c>
      <c r="L25" s="20" t="s">
        <v>515</v>
      </c>
      <c r="M25" s="21">
        <v>10.0</v>
      </c>
      <c r="N25" s="22">
        <f>M25*'Parámetros'!$C$5</f>
        <v>75</v>
      </c>
      <c r="O25" s="20" t="s">
        <v>517</v>
      </c>
      <c r="P25" s="19">
        <f>COUNTIFS(Recursos!$F$5:$F$200,"*"&amp;A25&amp;"*",Recursos!$D$5:$D$200,"Rise")</f>
        <v>1</v>
      </c>
      <c r="Q25" s="19">
        <f>COUNTIFS(Recursos!$F$5:$F$200,"*"&amp;A25&amp;"*",Recursos!$D$5:$D$200,"Quiz formativo")</f>
        <v>1</v>
      </c>
      <c r="R25" s="19">
        <f>COUNTIFS(Recursos!$F$5:$F$200,"*"&amp;A25&amp;"*",Recursos!$D$5:$D$200,"Caso de aplicación")+COUNTIFS(Recursos!$F$5:$F$200,"*"&amp;A25&amp;"*",Recursos!$D$5:$D$200,"Hito proyecto")</f>
        <v>1</v>
      </c>
      <c r="S25" s="19">
        <f>COUNTIFS(Recursos!$F$5:$F$200,"*"&amp;A25&amp;"*",Recursos!$D$5:$D$200,"Evaluación sumativa")</f>
        <v>1</v>
      </c>
      <c r="T25" s="18" t="str">
        <f t="shared" si="1"/>
        <v>OK</v>
      </c>
    </row>
    <row r="26" ht="117.75" customHeight="1">
      <c r="A26" s="18" t="s">
        <v>394</v>
      </c>
      <c r="B26" s="19">
        <v>6.0</v>
      </c>
      <c r="C26" s="20" t="s">
        <v>364</v>
      </c>
      <c r="D26" s="20" t="s">
        <v>494</v>
      </c>
      <c r="E26" s="20" t="s">
        <v>529</v>
      </c>
      <c r="F26" s="20" t="s">
        <v>530</v>
      </c>
      <c r="G26" s="19" t="s">
        <v>131</v>
      </c>
      <c r="H26" s="20" t="s">
        <v>532</v>
      </c>
      <c r="I26" s="20" t="s">
        <v>533</v>
      </c>
      <c r="J26" s="20" t="s">
        <v>534</v>
      </c>
      <c r="K26" s="20" t="s">
        <v>379</v>
      </c>
      <c r="L26" s="20" t="s">
        <v>535</v>
      </c>
      <c r="M26" s="21">
        <v>9.0</v>
      </c>
      <c r="N26" s="22">
        <f>M26*'Parámetros'!$C$5</f>
        <v>67.5</v>
      </c>
      <c r="O26" s="20" t="s">
        <v>538</v>
      </c>
      <c r="P26" s="19">
        <f>COUNTIFS(Recursos!$F$5:$F$200,"*"&amp;A26&amp;"*",Recursos!$D$5:$D$200,"Rise")</f>
        <v>1</v>
      </c>
      <c r="Q26" s="19">
        <f>COUNTIFS(Recursos!$F$5:$F$200,"*"&amp;A26&amp;"*",Recursos!$D$5:$D$200,"Quiz formativo")</f>
        <v>1</v>
      </c>
      <c r="R26" s="19">
        <f>COUNTIFS(Recursos!$F$5:$F$200,"*"&amp;A26&amp;"*",Recursos!$D$5:$D$200,"Caso de aplicación")+COUNTIFS(Recursos!$F$5:$F$200,"*"&amp;A26&amp;"*",Recursos!$D$5:$D$200,"Hito proyecto")</f>
        <v>2</v>
      </c>
      <c r="S26" s="19">
        <f>COUNTIFS(Recursos!$F$5:$F$200,"*"&amp;A26&amp;"*",Recursos!$D$5:$D$200,"Evaluación sumativa")</f>
        <v>1</v>
      </c>
      <c r="T26" s="18" t="str">
        <f t="shared" si="1"/>
        <v>OK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T5:T26">
    <cfRule type="cellIs" dxfId="0" priority="1" operator="equal">
      <formula>"OK"</formula>
    </cfRule>
  </conditionalFormatting>
  <conditionalFormatting sqref="T5:T26">
    <cfRule type="cellIs" dxfId="1" priority="2" operator="equal">
      <formula>"Revisar"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36.0"/>
    <col customWidth="1" min="4" max="4" width="44.0"/>
    <col customWidth="1" min="5" max="5" width="12.0"/>
    <col customWidth="1" min="6" max="6" width="40.0"/>
    <col customWidth="1" min="7" max="7" width="26.0"/>
    <col customWidth="1" min="8" max="8" width="44.0"/>
    <col customWidth="1" min="9" max="9" width="50.0"/>
    <col customWidth="1" min="10" max="10" width="44.0"/>
    <col customWidth="1" min="11" max="11" width="13.0"/>
    <col customWidth="1" min="12" max="12" width="12.0"/>
    <col customWidth="1" min="13" max="26" width="8.71"/>
  </cols>
  <sheetData>
    <row r="1">
      <c r="A1" s="1" t="s">
        <v>110</v>
      </c>
    </row>
    <row r="2">
      <c r="A2" s="2" t="s">
        <v>111</v>
      </c>
    </row>
    <row r="4" ht="31.5" customHeight="1">
      <c r="A4" s="4" t="s">
        <v>9</v>
      </c>
      <c r="B4" s="4" t="s">
        <v>10</v>
      </c>
      <c r="C4" s="4" t="s">
        <v>19</v>
      </c>
      <c r="D4" s="4" t="s">
        <v>23</v>
      </c>
      <c r="E4" s="4" t="s">
        <v>116</v>
      </c>
      <c r="F4" s="4" t="s">
        <v>120</v>
      </c>
      <c r="G4" s="4" t="s">
        <v>36</v>
      </c>
      <c r="H4" s="4" t="s">
        <v>122</v>
      </c>
      <c r="I4" s="4" t="s">
        <v>123</v>
      </c>
      <c r="J4" s="4" t="s">
        <v>124</v>
      </c>
      <c r="K4" s="4" t="s">
        <v>126</v>
      </c>
      <c r="L4" s="4" t="s">
        <v>64</v>
      </c>
    </row>
    <row r="5" ht="105.0" customHeight="1">
      <c r="A5" s="10" t="s">
        <v>69</v>
      </c>
      <c r="B5" s="12">
        <v>1.0</v>
      </c>
      <c r="C5" s="13" t="str">
        <f>Estructura!D5</f>
        <v>Interactuar con modelos de IA generativa mediante prompts efectivos y validación de resultados, para apoyar tareas de oficina de forma verificada.</v>
      </c>
      <c r="D5" s="13" t="str">
        <f>Estructura!F5</f>
        <v>Explicar el funcionamiento general, los tipos y los límites de la IA generativa, ejemplificando sus usos en tareas laborales cotidianas.</v>
      </c>
      <c r="E5" s="12" t="s">
        <v>93</v>
      </c>
      <c r="F5" s="13" t="str">
        <f>Estructura!J5</f>
        <v>Curiosidad crítica; apertura a un uso responsable de la tecnología.</v>
      </c>
      <c r="G5" s="13" t="s">
        <v>97</v>
      </c>
      <c r="H5" s="13" t="s">
        <v>133</v>
      </c>
      <c r="I5" s="13" t="s">
        <v>135</v>
      </c>
      <c r="J5" s="13" t="s">
        <v>138</v>
      </c>
      <c r="K5" s="15">
        <f>Estructura!N5+'Parámetros'!$C$6</f>
        <v>135</v>
      </c>
      <c r="L5" s="12" t="str">
        <f>Estructura!T5</f>
        <v>OK</v>
      </c>
    </row>
    <row r="6" ht="105.0" customHeight="1">
      <c r="A6" s="10" t="s">
        <v>100</v>
      </c>
      <c r="B6" s="12">
        <v>1.0</v>
      </c>
      <c r="C6" s="13" t="str">
        <f>Estructura!D6</f>
        <v>Interactuar con modelos de IA generativa mediante prompts efectivos y validación de resultados, para apoyar tareas de oficina de forma verificada.</v>
      </c>
      <c r="D6" s="13" t="str">
        <f>Estructura!F6</f>
        <v>Formular prompts efectivos con rol, contexto, tarea y formato para obtener respuestas útiles en tareas laborales simples.</v>
      </c>
      <c r="E6" s="12" t="s">
        <v>103</v>
      </c>
      <c r="F6" s="13" t="str">
        <f>Estructura!J6</f>
        <v>Perseverancia en la iteración; orden y documentación del propio trabajo.</v>
      </c>
      <c r="G6" s="13" t="s">
        <v>107</v>
      </c>
      <c r="H6" s="13" t="s">
        <v>142</v>
      </c>
      <c r="I6" s="13" t="s">
        <v>143</v>
      </c>
      <c r="J6" s="13" t="s">
        <v>145</v>
      </c>
      <c r="K6" s="15">
        <f>Estructura!N6+'Parámetros'!$C$6</f>
        <v>135</v>
      </c>
      <c r="L6" s="12" t="str">
        <f>Estructura!T6</f>
        <v>OK</v>
      </c>
    </row>
    <row r="7" ht="105.0" customHeight="1">
      <c r="A7" s="10" t="s">
        <v>112</v>
      </c>
      <c r="B7" s="12">
        <v>1.0</v>
      </c>
      <c r="C7" s="13" t="str">
        <f>Estructura!D7</f>
        <v>Interactuar con modelos de IA generativa mediante prompts efectivos y validación de resultados, para apoyar tareas de oficina de forma verificada.</v>
      </c>
      <c r="D7" s="13" t="str">
        <f>Estructura!F7</f>
        <v>Ajustar parámetros de generación (temperatura, longitud, iteración) para adecuar las respuestas a distintos objetivos de una tarea.</v>
      </c>
      <c r="E7" s="12" t="s">
        <v>103</v>
      </c>
      <c r="F7" s="13" t="str">
        <f>Estructura!J7</f>
        <v>Rigor al comparar y registrar resultados.</v>
      </c>
      <c r="G7" s="13" t="s">
        <v>119</v>
      </c>
      <c r="H7" s="13" t="s">
        <v>167</v>
      </c>
      <c r="I7" s="13" t="s">
        <v>168</v>
      </c>
      <c r="J7" s="13" t="s">
        <v>169</v>
      </c>
      <c r="K7" s="15">
        <f>Estructura!N7+'Parámetros'!$C$6</f>
        <v>135</v>
      </c>
      <c r="L7" s="12" t="str">
        <f>Estructura!T7</f>
        <v>OK</v>
      </c>
    </row>
    <row r="8" ht="105.0" customHeight="1">
      <c r="A8" s="10" t="s">
        <v>128</v>
      </c>
      <c r="B8" s="12">
        <v>1.0</v>
      </c>
      <c r="C8" s="13" t="str">
        <f>Estructura!D8</f>
        <v>Interactuar con modelos de IA generativa mediante prompts efectivos y validación de resultados, para apoyar tareas de oficina de forma verificada.</v>
      </c>
      <c r="D8" s="13" t="str">
        <f>Estructura!F8</f>
        <v>Validar resultados generados por IA, contrastándolos con fuentes confiables, para detectar alucinaciones, errores y sesgos.</v>
      </c>
      <c r="E8" s="12" t="s">
        <v>131</v>
      </c>
      <c r="F8" s="13" t="str">
        <f>Estructura!J8</f>
        <v>Responsabilidad profesional sobre lo que se firma o comparte; honestidad intelectual.</v>
      </c>
      <c r="G8" s="13" t="s">
        <v>137</v>
      </c>
      <c r="H8" s="13" t="s">
        <v>177</v>
      </c>
      <c r="I8" s="13" t="s">
        <v>178</v>
      </c>
      <c r="J8" s="13" t="s">
        <v>180</v>
      </c>
      <c r="K8" s="15">
        <f>Estructura!N8+'Parámetros'!$C$6</f>
        <v>142.5</v>
      </c>
      <c r="L8" s="12" t="str">
        <f>Estructura!T8</f>
        <v>OK</v>
      </c>
    </row>
    <row r="9" ht="105.0" customHeight="1">
      <c r="A9" s="18" t="s">
        <v>148</v>
      </c>
      <c r="B9" s="19">
        <v>2.0</v>
      </c>
      <c r="C9" s="20" t="str">
        <f>Estructura!D9</f>
        <v>Optimizar la elaboración de documentos, presentaciones y planillas de cálculo con IA generativa, cuidando tono, audiencia y exactitud, en contextos laborales.</v>
      </c>
      <c r="D9" s="20" t="str">
        <f>Estructura!F9</f>
        <v>Redactar correos, minutas e informes con apoyo de IA, ajustando tono, registro y audiencia.</v>
      </c>
      <c r="E9" s="19" t="s">
        <v>103</v>
      </c>
      <c r="F9" s="20" t="str">
        <f>Estructura!J9</f>
        <v>Cortesía y claridad en la comunicación profesional; responsabilidad sobre el mensaje.</v>
      </c>
      <c r="G9" s="20" t="s">
        <v>165</v>
      </c>
      <c r="H9" s="20" t="s">
        <v>194</v>
      </c>
      <c r="I9" s="20" t="s">
        <v>195</v>
      </c>
      <c r="J9" s="20" t="s">
        <v>196</v>
      </c>
      <c r="K9" s="22">
        <f>Estructura!N9+'Parámetros'!$C$6</f>
        <v>150</v>
      </c>
      <c r="L9" s="19" t="str">
        <f>Estructura!T9</f>
        <v>OK</v>
      </c>
    </row>
    <row r="10" ht="105.0" customHeight="1">
      <c r="A10" s="18" t="s">
        <v>181</v>
      </c>
      <c r="B10" s="19">
        <v>2.0</v>
      </c>
      <c r="C10" s="20" t="str">
        <f>Estructura!D10</f>
        <v>Optimizar la elaboración de documentos, presentaciones y planillas de cálculo con IA generativa, cuidando tono, audiencia y exactitud, en contextos laborales.</v>
      </c>
      <c r="D10" s="20" t="str">
        <f>Estructura!F10</f>
        <v>Aplicar técnicas de prompting avanzado (ejemplos, restricciones, encadenamiento) para mejorar la calidad y consistencia de textos profesionales.</v>
      </c>
      <c r="E10" s="19" t="s">
        <v>103</v>
      </c>
      <c r="F10" s="20" t="str">
        <f>Estructura!J10</f>
        <v>Orden metodológico; mejora continua del propio proceso.</v>
      </c>
      <c r="G10" s="20" t="s">
        <v>189</v>
      </c>
      <c r="H10" s="20" t="s">
        <v>201</v>
      </c>
      <c r="I10" s="20" t="s">
        <v>203</v>
      </c>
      <c r="J10" s="20" t="s">
        <v>204</v>
      </c>
      <c r="K10" s="22">
        <f>Estructura!N10+'Parámetros'!$C$6</f>
        <v>150</v>
      </c>
      <c r="L10" s="19" t="str">
        <f>Estructura!T10</f>
        <v>OK</v>
      </c>
    </row>
    <row r="11" ht="105.0" customHeight="1">
      <c r="A11" s="18" t="s">
        <v>208</v>
      </c>
      <c r="B11" s="19">
        <v>2.0</v>
      </c>
      <c r="C11" s="20" t="str">
        <f>Estructura!D11</f>
        <v>Optimizar la elaboración de documentos, presentaciones y planillas de cálculo con IA generativa, cuidando tono, audiencia y exactitud, en contextos laborales.</v>
      </c>
      <c r="D11" s="20" t="str">
        <f>Estructura!F11</f>
        <v>Estructurar presentaciones de 6 láminas con apoyo de IA a partir de un mensaje clave y una audiencia definida.</v>
      </c>
      <c r="E11" s="19" t="s">
        <v>103</v>
      </c>
      <c r="F11" s="20" t="str">
        <f>Estructura!J11</f>
        <v>Sentido de síntesis; cuidado de la imagen profesional.</v>
      </c>
      <c r="G11" s="20" t="s">
        <v>214</v>
      </c>
      <c r="H11" s="20" t="s">
        <v>219</v>
      </c>
      <c r="I11" s="20" t="s">
        <v>220</v>
      </c>
      <c r="J11" s="20" t="s">
        <v>221</v>
      </c>
      <c r="K11" s="22">
        <f>Estructura!N11+'Parámetros'!$C$6</f>
        <v>142.5</v>
      </c>
      <c r="L11" s="19" t="str">
        <f>Estructura!T11</f>
        <v>OK</v>
      </c>
    </row>
    <row r="12" ht="105.0" customHeight="1">
      <c r="A12" s="18" t="s">
        <v>222</v>
      </c>
      <c r="B12" s="19">
        <v>2.0</v>
      </c>
      <c r="C12" s="20" t="str">
        <f>Estructura!D12</f>
        <v>Optimizar la elaboración de documentos, presentaciones y planillas de cálculo con IA generativa, cuidando tono, audiencia y exactitud, en contextos laborales.</v>
      </c>
      <c r="D12" s="20" t="str">
        <f>Estructura!F12</f>
        <v>Resolver análisis en planillas de cálculo con fórmulas generadas por IA, verificando su exactitud.</v>
      </c>
      <c r="E12" s="19" t="s">
        <v>131</v>
      </c>
      <c r="F12" s="20" t="str">
        <f>Estructura!J12</f>
        <v>Rigor numérico; desconfianza metódica ante resultados no comprobados.</v>
      </c>
      <c r="G12" s="20" t="s">
        <v>223</v>
      </c>
      <c r="H12" s="20" t="s">
        <v>224</v>
      </c>
      <c r="I12" s="20" t="s">
        <v>226</v>
      </c>
      <c r="J12" s="20" t="s">
        <v>227</v>
      </c>
      <c r="K12" s="22">
        <f>Estructura!N12+'Parámetros'!$C$6</f>
        <v>150</v>
      </c>
      <c r="L12" s="19" t="str">
        <f>Estructura!T12</f>
        <v>OK</v>
      </c>
    </row>
    <row r="13" ht="105.0" customHeight="1">
      <c r="A13" s="10" t="s">
        <v>229</v>
      </c>
      <c r="B13" s="12">
        <v>3.0</v>
      </c>
      <c r="C13" s="13" t="str">
        <f>Estructura!D13</f>
        <v>Acelerar la investigación y el análisis de información con herramientas de IA, validando fuentes y resguardando la privacidad, para apoyar decisiones laborales.</v>
      </c>
      <c r="D13" s="13" t="str">
        <f>Estructura!F13</f>
        <v>Utilizar herramientas de IA para investigar (buscadores con citas, asistentes sobre fuentes propias) y levantar información sobre un problema de su sector.</v>
      </c>
      <c r="E13" s="12" t="s">
        <v>103</v>
      </c>
      <c r="F13" s="13" t="str">
        <f>Estructura!J13</f>
        <v>Curiosidad y autonomía en la búsqueda.</v>
      </c>
      <c r="G13" s="13" t="s">
        <v>238</v>
      </c>
      <c r="H13" s="13" t="s">
        <v>239</v>
      </c>
      <c r="I13" s="13" t="s">
        <v>240</v>
      </c>
      <c r="J13" s="13" t="s">
        <v>241</v>
      </c>
      <c r="K13" s="15">
        <f>Estructura!N13+'Parámetros'!$C$6</f>
        <v>150</v>
      </c>
      <c r="L13" s="12" t="str">
        <f>Estructura!T13</f>
        <v>OK</v>
      </c>
    </row>
    <row r="14" ht="105.0" customHeight="1">
      <c r="A14" s="10" t="s">
        <v>243</v>
      </c>
      <c r="B14" s="12">
        <v>3.0</v>
      </c>
      <c r="C14" s="13" t="str">
        <f>Estructura!D14</f>
        <v>Acelerar la investigación y el análisis de información con herramientas de IA, validando fuentes y resguardando la privacidad, para apoyar decisiones laborales.</v>
      </c>
      <c r="D14" s="13" t="str">
        <f>Estructura!F14</f>
        <v>Contrastar y sintetizar información de múltiples fuentes aplicando criterios de confiabilidad.</v>
      </c>
      <c r="E14" s="12" t="s">
        <v>245</v>
      </c>
      <c r="F14" s="13" t="str">
        <f>Estructura!J14</f>
        <v>Honestidad intelectual; respeto por la autoría.</v>
      </c>
      <c r="G14" s="13" t="s">
        <v>246</v>
      </c>
      <c r="H14" s="13" t="s">
        <v>247</v>
      </c>
      <c r="I14" s="13" t="s">
        <v>248</v>
      </c>
      <c r="J14" s="13" t="s">
        <v>250</v>
      </c>
      <c r="K14" s="15">
        <f>Estructura!N14+'Parámetros'!$C$6</f>
        <v>150</v>
      </c>
      <c r="L14" s="12" t="str">
        <f>Estructura!T14</f>
        <v>OK</v>
      </c>
    </row>
    <row r="15" ht="105.0" customHeight="1">
      <c r="A15" s="10" t="s">
        <v>251</v>
      </c>
      <c r="B15" s="12">
        <v>3.0</v>
      </c>
      <c r="C15" s="13" t="str">
        <f>Estructura!D15</f>
        <v>Acelerar la investigación y el análisis de información con herramientas de IA, validando fuentes y resguardando la privacidad, para apoyar decisiones laborales.</v>
      </c>
      <c r="D15" s="13" t="str">
        <f>Estructura!F15</f>
        <v>Organizar y presentar hallazgos en un informe breve con fuentes citadas y mensajes clave.</v>
      </c>
      <c r="E15" s="12" t="s">
        <v>103</v>
      </c>
      <c r="F15" s="13" t="str">
        <f>Estructura!J15</f>
        <v>Claridad y orden en la comunicación de resultados.</v>
      </c>
      <c r="G15" s="13" t="s">
        <v>261</v>
      </c>
      <c r="H15" s="13" t="s">
        <v>262</v>
      </c>
      <c r="I15" s="13" t="s">
        <v>263</v>
      </c>
      <c r="J15" s="13" t="s">
        <v>265</v>
      </c>
      <c r="K15" s="15">
        <f>Estructura!N15+'Parámetros'!$C$6</f>
        <v>142.5</v>
      </c>
      <c r="L15" s="12" t="str">
        <f>Estructura!T15</f>
        <v>OK</v>
      </c>
    </row>
    <row r="16" ht="105.0" customHeight="1">
      <c r="A16" s="10" t="s">
        <v>267</v>
      </c>
      <c r="B16" s="12">
        <v>3.0</v>
      </c>
      <c r="C16" s="13" t="str">
        <f>Estructura!D16</f>
        <v>Acelerar la investigación y el análisis de información con herramientas de IA, validando fuentes y resguardando la privacidad, para apoyar decisiones laborales.</v>
      </c>
      <c r="D16" s="13" t="str">
        <f>Estructura!F16</f>
        <v>Evaluar críticamente los resultados de la IA y los riesgos de privacidad al usar información laboral, proponiendo prácticas de uso seguro.</v>
      </c>
      <c r="E16" s="12" t="s">
        <v>131</v>
      </c>
      <c r="F16" s="13" t="str">
        <f>Estructura!J16</f>
        <v>Responsabilidad y ética en el tratamiento de la información; confidencialidad.</v>
      </c>
      <c r="G16" s="13" t="s">
        <v>272</v>
      </c>
      <c r="H16" s="13" t="s">
        <v>273</v>
      </c>
      <c r="I16" s="13" t="s">
        <v>274</v>
      </c>
      <c r="J16" s="13" t="s">
        <v>275</v>
      </c>
      <c r="K16" s="15">
        <f>Estructura!N16+'Parámetros'!$C$6</f>
        <v>150</v>
      </c>
      <c r="L16" s="12" t="str">
        <f>Estructura!T16</f>
        <v>OK</v>
      </c>
    </row>
    <row r="17" ht="105.0" customHeight="1">
      <c r="A17" s="18" t="s">
        <v>279</v>
      </c>
      <c r="B17" s="19">
        <v>4.0</v>
      </c>
      <c r="C17" s="20" t="str">
        <f>Estructura!D17</f>
        <v>Producir contenido visual, sonoro y audiovisual con IA generativa, respetando licencias, atribución y criterios éticos, para piezas de comunicación laboral.</v>
      </c>
      <c r="D17" s="20" t="str">
        <f>Estructura!F17</f>
        <v>Seleccionar herramientas de IA para contenido multimedia según el tipo de pieza, sus licencias y sus riesgos de uso.</v>
      </c>
      <c r="E17" s="19" t="s">
        <v>245</v>
      </c>
      <c r="F17" s="20" t="str">
        <f>Estructura!J17</f>
        <v>Respeto por la propiedad intelectual y la autoría.</v>
      </c>
      <c r="G17" s="20" t="s">
        <v>295</v>
      </c>
      <c r="H17" s="20" t="s">
        <v>296</v>
      </c>
      <c r="I17" s="20" t="s">
        <v>297</v>
      </c>
      <c r="J17" s="20" t="s">
        <v>298</v>
      </c>
      <c r="K17" s="22">
        <f>Estructura!N17+'Parámetros'!$C$6</f>
        <v>127.5</v>
      </c>
      <c r="L17" s="19" t="str">
        <f>Estructura!T17</f>
        <v>OK</v>
      </c>
    </row>
    <row r="18" ht="105.0" customHeight="1">
      <c r="A18" s="18" t="s">
        <v>302</v>
      </c>
      <c r="B18" s="19">
        <v>4.0</v>
      </c>
      <c r="C18" s="20" t="str">
        <f>Estructura!D18</f>
        <v>Producir contenido visual, sonoro y audiovisual con IA generativa, respetando licencias, atribución y criterios éticos, para piezas de comunicación laboral.</v>
      </c>
      <c r="D18" s="20" t="str">
        <f>Estructura!F18</f>
        <v>Producir imágenes y gráficos con IA para una campaña interna, aplicando criterios de diseño y uso ético.</v>
      </c>
      <c r="E18" s="19" t="s">
        <v>103</v>
      </c>
      <c r="F18" s="20" t="str">
        <f>Estructura!J18</f>
        <v>Sensibilidad estética; cuidado de la representación de las personas.</v>
      </c>
      <c r="G18" s="20" t="s">
        <v>306</v>
      </c>
      <c r="H18" s="20" t="s">
        <v>307</v>
      </c>
      <c r="I18" s="20" t="s">
        <v>308</v>
      </c>
      <c r="J18" s="20" t="s">
        <v>309</v>
      </c>
      <c r="K18" s="22">
        <f>Estructura!N18+'Parámetros'!$C$6</f>
        <v>127.5</v>
      </c>
      <c r="L18" s="19" t="str">
        <f>Estructura!T18</f>
        <v>OK</v>
      </c>
    </row>
    <row r="19" ht="105.0" customHeight="1">
      <c r="A19" s="18" t="s">
        <v>316</v>
      </c>
      <c r="B19" s="19">
        <v>4.0</v>
      </c>
      <c r="C19" s="20" t="str">
        <f>Estructura!D19</f>
        <v>Producir contenido visual, sonoro y audiovisual con IA generativa, respetando licencias, atribución y criterios éticos, para piezas de comunicación laboral.</v>
      </c>
      <c r="D19" s="20" t="str">
        <f>Estructura!F19</f>
        <v>Generar audio, voz y música con IA para una pieza de comunicación, cuidando derechos de voz y atribución.</v>
      </c>
      <c r="E19" s="19" t="s">
        <v>103</v>
      </c>
      <c r="F19" s="20" t="str">
        <f>Estructura!J19</f>
        <v>Consentimiento y respeto por la identidad de las personas.</v>
      </c>
      <c r="G19" s="20" t="s">
        <v>327</v>
      </c>
      <c r="H19" s="20" t="s">
        <v>328</v>
      </c>
      <c r="I19" s="20" t="s">
        <v>329</v>
      </c>
      <c r="J19" s="20" t="s">
        <v>330</v>
      </c>
      <c r="K19" s="22">
        <f>Estructura!N19+'Parámetros'!$C$6</f>
        <v>120</v>
      </c>
      <c r="L19" s="19" t="str">
        <f>Estructura!T19</f>
        <v>OK</v>
      </c>
    </row>
    <row r="20" ht="105.0" customHeight="1">
      <c r="A20" s="18" t="s">
        <v>333</v>
      </c>
      <c r="B20" s="19">
        <v>4.0</v>
      </c>
      <c r="C20" s="20" t="str">
        <f>Estructura!D20</f>
        <v>Producir contenido visual, sonoro y audiovisual con IA generativa, respetando licencias, atribución y criterios éticos, para piezas de comunicación laboral.</v>
      </c>
      <c r="D20" s="20" t="str">
        <f>Estructura!F20</f>
        <v>Elaborar un clip de 60 segundos que integre guion, voz, música e imagen generados con IA.</v>
      </c>
      <c r="E20" s="19" t="s">
        <v>335</v>
      </c>
      <c r="F20" s="20" t="str">
        <f>Estructura!J20</f>
        <v>Creatividad responsable; cuidado del detalle.</v>
      </c>
      <c r="G20" s="20" t="s">
        <v>336</v>
      </c>
      <c r="H20" s="20" t="s">
        <v>337</v>
      </c>
      <c r="I20" s="20" t="s">
        <v>338</v>
      </c>
      <c r="J20" s="20" t="s">
        <v>339</v>
      </c>
      <c r="K20" s="22">
        <f>Estructura!N20+'Parámetros'!$C$6</f>
        <v>127.5</v>
      </c>
      <c r="L20" s="19" t="str">
        <f>Estructura!T20</f>
        <v>OK</v>
      </c>
    </row>
    <row r="21" ht="105.0" customHeight="1">
      <c r="A21" s="10" t="s">
        <v>340</v>
      </c>
      <c r="B21" s="12">
        <v>5.0</v>
      </c>
      <c r="C21" s="13" t="str">
        <f>Estructura!D21</f>
        <v>Automatizar tareas rutinarias mediante flujos simples con IA, incorporando supervisión humana y control de riesgos, en el trabajo cotidiano.</v>
      </c>
      <c r="D21" s="13" t="str">
        <f>Estructura!F21</f>
        <v>Identificar tareas repetitivas con potencial de automatización, priorizándolas según impacto y riesgo.</v>
      </c>
      <c r="E21" s="12" t="s">
        <v>245</v>
      </c>
      <c r="F21" s="13" t="str">
        <f>Estructura!J21</f>
        <v>Mirada analítica sobre el propio trabajo; enfoque en el valor para las personas.</v>
      </c>
      <c r="G21" s="13" t="s">
        <v>349</v>
      </c>
      <c r="H21" s="13" t="s">
        <v>350</v>
      </c>
      <c r="I21" s="13" t="s">
        <v>351</v>
      </c>
      <c r="J21" s="13" t="s">
        <v>352</v>
      </c>
      <c r="K21" s="15">
        <f>Estructura!N21+'Parámetros'!$C$6</f>
        <v>127.5</v>
      </c>
      <c r="L21" s="12" t="str">
        <f>Estructura!T21</f>
        <v>OK</v>
      </c>
    </row>
    <row r="22" ht="105.0" customHeight="1">
      <c r="A22" s="10" t="s">
        <v>355</v>
      </c>
      <c r="B22" s="12">
        <v>5.0</v>
      </c>
      <c r="C22" s="13" t="str">
        <f>Estructura!D22</f>
        <v>Automatizar tareas rutinarias mediante flujos simples con IA, incorporando supervisión humana y control de riesgos, en el trabajo cotidiano.</v>
      </c>
      <c r="D22" s="13" t="str">
        <f>Estructura!F22</f>
        <v>Construir un flujo simple con una herramienta no-code que conecte IA con correo, planillas o calendario.</v>
      </c>
      <c r="E22" s="12" t="s">
        <v>335</v>
      </c>
      <c r="F22" s="13" t="str">
        <f>Estructura!J22</f>
        <v>Autonomía y prolijidad técnica; disposición a probar y corregir.</v>
      </c>
      <c r="G22" s="13" t="s">
        <v>357</v>
      </c>
      <c r="H22" s="13" t="s">
        <v>358</v>
      </c>
      <c r="I22" s="13" t="s">
        <v>359</v>
      </c>
      <c r="J22" s="13" t="s">
        <v>360</v>
      </c>
      <c r="K22" s="15">
        <f>Estructura!N22+'Parámetros'!$C$6</f>
        <v>120</v>
      </c>
      <c r="L22" s="12" t="str">
        <f>Estructura!T22</f>
        <v>OK</v>
      </c>
    </row>
    <row r="23" ht="105.0" customHeight="1">
      <c r="A23" s="10" t="s">
        <v>361</v>
      </c>
      <c r="B23" s="12">
        <v>5.0</v>
      </c>
      <c r="C23" s="13" t="str">
        <f>Estructura!D23</f>
        <v>Automatizar tareas rutinarias mediante flujos simples con IA, incorporando supervisión humana y control de riesgos, en el trabajo cotidiano.</v>
      </c>
      <c r="D23" s="13" t="str">
        <f>Estructura!F23</f>
        <v>Incorporar puntos de supervisión humana y controles de riesgo en un flujo automatizado, evaluando su efecto.</v>
      </c>
      <c r="E23" s="12" t="s">
        <v>131</v>
      </c>
      <c r="F23" s="13" t="str">
        <f>Estructura!J23</f>
        <v>Responsabilidad sobre las decisiones automatizadas; prudencia.</v>
      </c>
      <c r="G23" s="13" t="s">
        <v>365</v>
      </c>
      <c r="H23" s="13" t="s">
        <v>366</v>
      </c>
      <c r="I23" s="13" t="s">
        <v>367</v>
      </c>
      <c r="J23" s="13" t="s">
        <v>368</v>
      </c>
      <c r="K23" s="15">
        <f>Estructura!N23+'Parámetros'!$C$6</f>
        <v>120</v>
      </c>
      <c r="L23" s="12" t="str">
        <f>Estructura!T23</f>
        <v>OK</v>
      </c>
    </row>
    <row r="24" ht="105.0" customHeight="1">
      <c r="A24" s="18" t="s">
        <v>370</v>
      </c>
      <c r="B24" s="19">
        <v>6.0</v>
      </c>
      <c r="C24" s="20" t="str">
        <f>Estructura!D24</f>
        <v>Aplicar la IA generativa en un proyecto basado en un desafío laboral real, midiendo resultados y comunicándolos, integrando lo aprendido en los módulos anteriores.</v>
      </c>
      <c r="D24" s="20" t="str">
        <f>Estructura!F24</f>
        <v>Diagnosticar una oportunidad de mejora en un contexto laboral real (su cargo actual o uno al que aspira) que pueda abordarse con IA, definiendo situación inicial y metas.</v>
      </c>
      <c r="E24" s="19" t="s">
        <v>245</v>
      </c>
      <c r="F24" s="20" t="str">
        <f>Estructura!J24</f>
        <v>Orientación a resultados; realismo al fijar metas.</v>
      </c>
      <c r="G24" s="20" t="s">
        <v>379</v>
      </c>
      <c r="H24" s="20" t="s">
        <v>380</v>
      </c>
      <c r="I24" s="20" t="s">
        <v>382</v>
      </c>
      <c r="J24" s="20" t="s">
        <v>383</v>
      </c>
      <c r="K24" s="22">
        <f>Estructura!N24+'Parámetros'!$C$6</f>
        <v>90</v>
      </c>
      <c r="L24" s="19" t="str">
        <f>Estructura!T24</f>
        <v>OK</v>
      </c>
    </row>
    <row r="25" ht="105.0" customHeight="1">
      <c r="A25" s="18" t="s">
        <v>386</v>
      </c>
      <c r="B25" s="19">
        <v>6.0</v>
      </c>
      <c r="C25" s="20" t="str">
        <f>Estructura!D25</f>
        <v>Aplicar la IA generativa en un proyecto basado en un desafío laboral real, midiendo resultados y comunicándolos, integrando lo aprendido en los módulos anteriores.</v>
      </c>
      <c r="D25" s="20" t="str">
        <f>Estructura!F25</f>
        <v>Implementar un flujo de trabajo con IA para la oportunidad priorizada, con supervisión humana y registro de decisiones.</v>
      </c>
      <c r="E25" s="19" t="s">
        <v>335</v>
      </c>
      <c r="F25" s="20" t="str">
        <f>Estructura!J25</f>
        <v>Autonomía; constancia; trabajo prolijo.</v>
      </c>
      <c r="G25" s="20" t="s">
        <v>379</v>
      </c>
      <c r="H25" s="20" t="s">
        <v>389</v>
      </c>
      <c r="I25" s="20" t="s">
        <v>390</v>
      </c>
      <c r="J25" s="20" t="s">
        <v>391</v>
      </c>
      <c r="K25" s="22">
        <f>Estructura!N25+'Parámetros'!$C$6</f>
        <v>90</v>
      </c>
      <c r="L25" s="19" t="str">
        <f>Estructura!T25</f>
        <v>OK</v>
      </c>
    </row>
    <row r="26" ht="105.0" customHeight="1">
      <c r="A26" s="18" t="s">
        <v>394</v>
      </c>
      <c r="B26" s="19">
        <v>6.0</v>
      </c>
      <c r="C26" s="20" t="str">
        <f>Estructura!D26</f>
        <v>Aplicar la IA generativa en un proyecto basado en un desafío laboral real, midiendo resultados y comunicándolos, integrando lo aprendido en los módulos anteriores.</v>
      </c>
      <c r="D26" s="20" t="str">
        <f>Estructura!F26</f>
        <v>Evaluar los resultados del proyecto y comunicarlos mediante un pitch y un portafolio, proponiendo mejoras.</v>
      </c>
      <c r="E26" s="19" t="s">
        <v>131</v>
      </c>
      <c r="F26" s="20" t="str">
        <f>Estructura!J26</f>
        <v>Autocrítica constructiva; comunicación honesta de resultados, incluidos los límites.</v>
      </c>
      <c r="G26" s="20" t="s">
        <v>379</v>
      </c>
      <c r="H26" s="20" t="s">
        <v>403</v>
      </c>
      <c r="I26" s="20" t="s">
        <v>404</v>
      </c>
      <c r="J26" s="20" t="s">
        <v>407</v>
      </c>
      <c r="K26" s="22">
        <f>Estructura!N26+'Parámetros'!$C$6</f>
        <v>82.5</v>
      </c>
      <c r="L26" s="19" t="str">
        <f>Estructura!T26</f>
        <v>OK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:L26">
    <cfRule type="cellIs" dxfId="0" priority="1" operator="equal">
      <formula>"OK"</formula>
    </cfRule>
  </conditionalFormatting>
  <conditionalFormatting sqref="L5:L26">
    <cfRule type="cellIs" dxfId="1" priority="2" operator="equal">
      <formula>"Revisar"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7.0"/>
    <col customWidth="1" min="4" max="4" width="20.0"/>
    <col customWidth="1" min="5" max="5" width="64.0"/>
    <col customWidth="1" min="6" max="6" width="26.0"/>
    <col customWidth="1" min="7" max="7" width="12.0"/>
    <col customWidth="1" min="8" max="8" width="10.0"/>
    <col customWidth="1" min="9" max="9" width="12.0"/>
    <col customWidth="1" min="10" max="10" width="22.0"/>
    <col customWidth="1" min="11" max="11" width="16.0"/>
    <col customWidth="1" min="12" max="12" width="22.0"/>
    <col customWidth="1" min="13" max="13" width="14.0"/>
    <col customWidth="1" min="14" max="26" width="8.71"/>
  </cols>
  <sheetData>
    <row r="1">
      <c r="A1" s="1" t="s">
        <v>141</v>
      </c>
    </row>
    <row r="2">
      <c r="A2" s="2" t="s">
        <v>144</v>
      </c>
    </row>
    <row r="4" ht="31.5" customHeight="1">
      <c r="A4" s="4" t="s">
        <v>146</v>
      </c>
      <c r="B4" s="4" t="s">
        <v>10</v>
      </c>
      <c r="C4" s="4" t="s">
        <v>147</v>
      </c>
      <c r="D4" s="4" t="s">
        <v>149</v>
      </c>
      <c r="E4" s="4" t="s">
        <v>150</v>
      </c>
      <c r="F4" s="4" t="s">
        <v>151</v>
      </c>
      <c r="G4" s="4" t="s">
        <v>152</v>
      </c>
      <c r="H4" s="4" t="s">
        <v>153</v>
      </c>
      <c r="I4" s="4" t="s">
        <v>154</v>
      </c>
      <c r="J4" s="4" t="s">
        <v>155</v>
      </c>
      <c r="K4" s="4" t="s">
        <v>156</v>
      </c>
      <c r="L4" s="4" t="s">
        <v>159</v>
      </c>
      <c r="M4" s="4" t="s">
        <v>53</v>
      </c>
    </row>
    <row r="5" ht="30.0" customHeight="1">
      <c r="A5" s="12" t="s">
        <v>163</v>
      </c>
      <c r="B5" s="12">
        <v>1.0</v>
      </c>
      <c r="C5" s="12">
        <f t="shared" ref="C5:C105" si="1">COUNTIFS($B$5:B5,B5)</f>
        <v>1</v>
      </c>
      <c r="D5" s="13" t="s">
        <v>171</v>
      </c>
      <c r="E5" s="13" t="s">
        <v>172</v>
      </c>
      <c r="F5" s="13" t="s">
        <v>173</v>
      </c>
      <c r="G5" s="15">
        <f>'Parámetros'!$C$11</f>
        <v>45</v>
      </c>
      <c r="H5" s="12" t="s">
        <v>174</v>
      </c>
      <c r="I5" s="12" t="s">
        <v>175</v>
      </c>
      <c r="J5" s="13" t="s">
        <v>176</v>
      </c>
      <c r="K5" s="23" t="s">
        <v>179</v>
      </c>
      <c r="L5" s="23"/>
      <c r="M5" s="14" t="s">
        <v>182</v>
      </c>
    </row>
    <row r="6" ht="30.0" customHeight="1">
      <c r="A6" s="12" t="s">
        <v>185</v>
      </c>
      <c r="B6" s="12">
        <v>1.0</v>
      </c>
      <c r="C6" s="12">
        <f t="shared" si="1"/>
        <v>2</v>
      </c>
      <c r="D6" s="13" t="s">
        <v>191</v>
      </c>
      <c r="E6" s="13" t="s">
        <v>192</v>
      </c>
      <c r="F6" s="13" t="s">
        <v>173</v>
      </c>
      <c r="G6" s="15">
        <f>'Parámetros'!$C$8</f>
        <v>3</v>
      </c>
      <c r="H6" s="12" t="s">
        <v>174</v>
      </c>
      <c r="I6" s="12" t="s">
        <v>175</v>
      </c>
      <c r="J6" s="13" t="s">
        <v>197</v>
      </c>
      <c r="K6" s="23" t="s">
        <v>179</v>
      </c>
      <c r="L6" s="23"/>
      <c r="M6" s="14" t="s">
        <v>182</v>
      </c>
    </row>
    <row r="7" ht="30.0" customHeight="1">
      <c r="A7" s="12" t="s">
        <v>199</v>
      </c>
      <c r="B7" s="12">
        <v>1.0</v>
      </c>
      <c r="C7" s="12">
        <f t="shared" si="1"/>
        <v>3</v>
      </c>
      <c r="D7" s="13" t="s">
        <v>200</v>
      </c>
      <c r="E7" s="13" t="s">
        <v>98</v>
      </c>
      <c r="F7" s="13" t="s">
        <v>69</v>
      </c>
      <c r="G7" s="15">
        <f>Estructura!N5</f>
        <v>120</v>
      </c>
      <c r="H7" s="12" t="s">
        <v>174</v>
      </c>
      <c r="I7" s="12" t="s">
        <v>175</v>
      </c>
      <c r="J7" s="13" t="s">
        <v>202</v>
      </c>
      <c r="K7" s="23" t="s">
        <v>179</v>
      </c>
      <c r="L7" s="23"/>
      <c r="M7" s="14" t="s">
        <v>182</v>
      </c>
    </row>
    <row r="8" ht="30.0" customHeight="1">
      <c r="A8" s="12" t="s">
        <v>205</v>
      </c>
      <c r="B8" s="12">
        <v>1.0</v>
      </c>
      <c r="C8" s="12">
        <f t="shared" si="1"/>
        <v>4</v>
      </c>
      <c r="D8" s="13" t="s">
        <v>206</v>
      </c>
      <c r="E8" s="13" t="s">
        <v>207</v>
      </c>
      <c r="F8" s="13" t="s">
        <v>69</v>
      </c>
      <c r="G8" s="15">
        <f>'Parámetros'!$C$6</f>
        <v>15</v>
      </c>
      <c r="H8" s="12" t="s">
        <v>174</v>
      </c>
      <c r="I8" s="12" t="s">
        <v>175</v>
      </c>
      <c r="J8" s="13" t="s">
        <v>216</v>
      </c>
      <c r="K8" s="23" t="s">
        <v>179</v>
      </c>
      <c r="L8" s="23"/>
      <c r="M8" s="14" t="s">
        <v>182</v>
      </c>
    </row>
    <row r="9" ht="30.0" customHeight="1">
      <c r="A9" s="12" t="s">
        <v>218</v>
      </c>
      <c r="B9" s="12">
        <v>1.0</v>
      </c>
      <c r="C9" s="12">
        <f t="shared" si="1"/>
        <v>5</v>
      </c>
      <c r="D9" s="13" t="s">
        <v>200</v>
      </c>
      <c r="E9" s="13" t="s">
        <v>108</v>
      </c>
      <c r="F9" s="13" t="s">
        <v>100</v>
      </c>
      <c r="G9" s="15">
        <f>Estructura!N6</f>
        <v>120</v>
      </c>
      <c r="H9" s="12" t="s">
        <v>174</v>
      </c>
      <c r="I9" s="12" t="s">
        <v>175</v>
      </c>
      <c r="J9" s="13" t="s">
        <v>202</v>
      </c>
      <c r="K9" s="23" t="s">
        <v>179</v>
      </c>
      <c r="L9" s="23"/>
      <c r="M9" s="14" t="s">
        <v>182</v>
      </c>
    </row>
    <row r="10" ht="30.0" customHeight="1">
      <c r="A10" s="12" t="s">
        <v>225</v>
      </c>
      <c r="B10" s="12">
        <v>1.0</v>
      </c>
      <c r="C10" s="12">
        <f t="shared" si="1"/>
        <v>6</v>
      </c>
      <c r="D10" s="13" t="s">
        <v>206</v>
      </c>
      <c r="E10" s="13" t="s">
        <v>228</v>
      </c>
      <c r="F10" s="13" t="s">
        <v>100</v>
      </c>
      <c r="G10" s="15">
        <f>'Parámetros'!$C$6</f>
        <v>15</v>
      </c>
      <c r="H10" s="12" t="s">
        <v>174</v>
      </c>
      <c r="I10" s="12" t="s">
        <v>175</v>
      </c>
      <c r="J10" s="13" t="s">
        <v>216</v>
      </c>
      <c r="K10" s="23" t="s">
        <v>179</v>
      </c>
      <c r="L10" s="23"/>
      <c r="M10" s="14" t="s">
        <v>182</v>
      </c>
    </row>
    <row r="11" ht="30.0" customHeight="1">
      <c r="A11" s="12" t="s">
        <v>235</v>
      </c>
      <c r="B11" s="12">
        <v>1.0</v>
      </c>
      <c r="C11" s="12">
        <f t="shared" si="1"/>
        <v>7</v>
      </c>
      <c r="D11" s="13" t="s">
        <v>200</v>
      </c>
      <c r="E11" s="13" t="s">
        <v>121</v>
      </c>
      <c r="F11" s="13" t="s">
        <v>112</v>
      </c>
      <c r="G11" s="15">
        <f>Estructura!N7</f>
        <v>120</v>
      </c>
      <c r="H11" s="12" t="s">
        <v>174</v>
      </c>
      <c r="I11" s="12" t="s">
        <v>175</v>
      </c>
      <c r="J11" s="13" t="s">
        <v>202</v>
      </c>
      <c r="K11" s="23" t="s">
        <v>179</v>
      </c>
      <c r="L11" s="23"/>
      <c r="M11" s="14" t="s">
        <v>182</v>
      </c>
    </row>
    <row r="12" ht="30.0" customHeight="1">
      <c r="A12" s="12" t="s">
        <v>242</v>
      </c>
      <c r="B12" s="12">
        <v>1.0</v>
      </c>
      <c r="C12" s="12">
        <f t="shared" si="1"/>
        <v>8</v>
      </c>
      <c r="D12" s="13" t="s">
        <v>206</v>
      </c>
      <c r="E12" s="13" t="s">
        <v>244</v>
      </c>
      <c r="F12" s="13" t="s">
        <v>112</v>
      </c>
      <c r="G12" s="15">
        <f>'Parámetros'!$C$6</f>
        <v>15</v>
      </c>
      <c r="H12" s="12" t="s">
        <v>174</v>
      </c>
      <c r="I12" s="12" t="s">
        <v>175</v>
      </c>
      <c r="J12" s="13" t="s">
        <v>216</v>
      </c>
      <c r="K12" s="23" t="s">
        <v>179</v>
      </c>
      <c r="L12" s="23"/>
      <c r="M12" s="14" t="s">
        <v>182</v>
      </c>
    </row>
    <row r="13" ht="30.0" customHeight="1">
      <c r="A13" s="12" t="s">
        <v>249</v>
      </c>
      <c r="B13" s="12">
        <v>1.0</v>
      </c>
      <c r="C13" s="12">
        <f t="shared" si="1"/>
        <v>9</v>
      </c>
      <c r="D13" s="13" t="s">
        <v>200</v>
      </c>
      <c r="E13" s="13" t="s">
        <v>139</v>
      </c>
      <c r="F13" s="13" t="s">
        <v>128</v>
      </c>
      <c r="G13" s="15">
        <f>Estructura!N8</f>
        <v>127.5</v>
      </c>
      <c r="H13" s="12" t="s">
        <v>174</v>
      </c>
      <c r="I13" s="12" t="s">
        <v>175</v>
      </c>
      <c r="J13" s="13" t="s">
        <v>202</v>
      </c>
      <c r="K13" s="23" t="s">
        <v>179</v>
      </c>
      <c r="L13" s="23"/>
      <c r="M13" s="14" t="s">
        <v>182</v>
      </c>
    </row>
    <row r="14" ht="30.0" customHeight="1">
      <c r="A14" s="12" t="s">
        <v>256</v>
      </c>
      <c r="B14" s="12">
        <v>1.0</v>
      </c>
      <c r="C14" s="12">
        <f t="shared" si="1"/>
        <v>10</v>
      </c>
      <c r="D14" s="13" t="s">
        <v>206</v>
      </c>
      <c r="E14" s="13" t="s">
        <v>264</v>
      </c>
      <c r="F14" s="13" t="s">
        <v>128</v>
      </c>
      <c r="G14" s="15">
        <f>'Parámetros'!$C$6</f>
        <v>15</v>
      </c>
      <c r="H14" s="12" t="s">
        <v>174</v>
      </c>
      <c r="I14" s="12" t="s">
        <v>175</v>
      </c>
      <c r="J14" s="13" t="s">
        <v>216</v>
      </c>
      <c r="K14" s="23" t="s">
        <v>179</v>
      </c>
      <c r="L14" s="23"/>
      <c r="M14" s="14" t="s">
        <v>182</v>
      </c>
    </row>
    <row r="15" ht="30.0" customHeight="1">
      <c r="A15" s="12" t="s">
        <v>268</v>
      </c>
      <c r="B15" s="12">
        <v>1.0</v>
      </c>
      <c r="C15" s="12">
        <f t="shared" si="1"/>
        <v>11</v>
      </c>
      <c r="D15" s="13" t="s">
        <v>269</v>
      </c>
      <c r="E15" s="13" t="s">
        <v>270</v>
      </c>
      <c r="F15" s="13" t="s">
        <v>271</v>
      </c>
      <c r="G15" s="15">
        <f>'Parámetros'!$C$10</f>
        <v>90</v>
      </c>
      <c r="H15" s="12" t="s">
        <v>174</v>
      </c>
      <c r="I15" s="12" t="s">
        <v>174</v>
      </c>
      <c r="J15" s="13" t="s">
        <v>276</v>
      </c>
      <c r="K15" s="23" t="s">
        <v>179</v>
      </c>
      <c r="L15" s="23"/>
      <c r="M15" s="14" t="s">
        <v>182</v>
      </c>
    </row>
    <row r="16" ht="30.0" customHeight="1">
      <c r="A16" s="12" t="s">
        <v>277</v>
      </c>
      <c r="B16" s="12">
        <v>1.0</v>
      </c>
      <c r="C16" s="12">
        <f t="shared" si="1"/>
        <v>12</v>
      </c>
      <c r="D16" s="13" t="s">
        <v>278</v>
      </c>
      <c r="E16" s="13" t="s">
        <v>280</v>
      </c>
      <c r="F16" s="13" t="s">
        <v>281</v>
      </c>
      <c r="G16" s="15">
        <f>'Parámetros'!$C$10</f>
        <v>90</v>
      </c>
      <c r="H16" s="12" t="s">
        <v>174</v>
      </c>
      <c r="I16" s="12" t="s">
        <v>175</v>
      </c>
      <c r="J16" s="13" t="s">
        <v>276</v>
      </c>
      <c r="K16" s="23" t="s">
        <v>179</v>
      </c>
      <c r="L16" s="23"/>
      <c r="M16" s="14" t="s">
        <v>182</v>
      </c>
    </row>
    <row r="17" ht="30.0" customHeight="1">
      <c r="A17" s="12" t="s">
        <v>282</v>
      </c>
      <c r="B17" s="12">
        <v>1.0</v>
      </c>
      <c r="C17" s="12">
        <f t="shared" si="1"/>
        <v>13</v>
      </c>
      <c r="D17" s="13" t="s">
        <v>278</v>
      </c>
      <c r="E17" s="13" t="s">
        <v>283</v>
      </c>
      <c r="F17" s="13" t="s">
        <v>128</v>
      </c>
      <c r="G17" s="15">
        <f>'Parámetros'!$C$10</f>
        <v>90</v>
      </c>
      <c r="H17" s="12" t="s">
        <v>174</v>
      </c>
      <c r="I17" s="12" t="s">
        <v>175</v>
      </c>
      <c r="J17" s="13" t="s">
        <v>276</v>
      </c>
      <c r="K17" s="23" t="s">
        <v>179</v>
      </c>
      <c r="L17" s="23"/>
      <c r="M17" s="14" t="s">
        <v>182</v>
      </c>
    </row>
    <row r="18" ht="30.0" customHeight="1">
      <c r="A18" s="12" t="s">
        <v>291</v>
      </c>
      <c r="B18" s="12">
        <v>1.0</v>
      </c>
      <c r="C18" s="12">
        <f t="shared" si="1"/>
        <v>14</v>
      </c>
      <c r="D18" s="13" t="s">
        <v>292</v>
      </c>
      <c r="E18" s="13" t="s">
        <v>293</v>
      </c>
      <c r="F18" s="13" t="s">
        <v>294</v>
      </c>
      <c r="G18" s="15">
        <f>'Parámetros'!$C$7</f>
        <v>30</v>
      </c>
      <c r="H18" s="12" t="s">
        <v>174</v>
      </c>
      <c r="I18" s="12" t="s">
        <v>174</v>
      </c>
      <c r="J18" s="13" t="s">
        <v>299</v>
      </c>
      <c r="K18" s="23" t="s">
        <v>179</v>
      </c>
      <c r="L18" s="23"/>
      <c r="M18" s="14" t="s">
        <v>182</v>
      </c>
    </row>
    <row r="19" ht="30.0" customHeight="1">
      <c r="A19" s="12" t="s">
        <v>300</v>
      </c>
      <c r="B19" s="12">
        <v>1.0</v>
      </c>
      <c r="C19" s="12">
        <f t="shared" si="1"/>
        <v>15</v>
      </c>
      <c r="D19" s="13" t="s">
        <v>191</v>
      </c>
      <c r="E19" s="13" t="s">
        <v>301</v>
      </c>
      <c r="F19" s="13" t="s">
        <v>173</v>
      </c>
      <c r="G19" s="15">
        <f>'Parámetros'!$C$9</f>
        <v>3</v>
      </c>
      <c r="H19" s="12" t="s">
        <v>174</v>
      </c>
      <c r="I19" s="12" t="s">
        <v>175</v>
      </c>
      <c r="J19" s="13" t="s">
        <v>197</v>
      </c>
      <c r="K19" s="23" t="s">
        <v>179</v>
      </c>
      <c r="L19" s="23"/>
      <c r="M19" s="14" t="s">
        <v>182</v>
      </c>
    </row>
    <row r="20" ht="30.0" customHeight="1">
      <c r="A20" s="12" t="s">
        <v>303</v>
      </c>
      <c r="B20" s="12">
        <v>1.0</v>
      </c>
      <c r="C20" s="12">
        <f t="shared" si="1"/>
        <v>16</v>
      </c>
      <c r="D20" s="13" t="s">
        <v>304</v>
      </c>
      <c r="E20" s="13" t="s">
        <v>305</v>
      </c>
      <c r="F20" s="13" t="s">
        <v>173</v>
      </c>
      <c r="G20" s="24">
        <v>1.5</v>
      </c>
      <c r="H20" s="12" t="s">
        <v>174</v>
      </c>
      <c r="I20" s="12" t="s">
        <v>175</v>
      </c>
      <c r="J20" s="13" t="s">
        <v>310</v>
      </c>
      <c r="K20" s="23" t="s">
        <v>179</v>
      </c>
      <c r="L20" s="23"/>
      <c r="M20" s="14" t="s">
        <v>182</v>
      </c>
    </row>
    <row r="21" ht="30.0" customHeight="1">
      <c r="A21" s="12" t="s">
        <v>314</v>
      </c>
      <c r="B21" s="12">
        <v>1.0</v>
      </c>
      <c r="C21" s="12">
        <f t="shared" si="1"/>
        <v>17</v>
      </c>
      <c r="D21" s="13" t="s">
        <v>320</v>
      </c>
      <c r="E21" s="13" t="s">
        <v>321</v>
      </c>
      <c r="F21" s="13" t="s">
        <v>173</v>
      </c>
      <c r="G21" s="15">
        <v>0.0</v>
      </c>
      <c r="H21" s="12" t="s">
        <v>175</v>
      </c>
      <c r="I21" s="12" t="s">
        <v>175</v>
      </c>
      <c r="J21" s="13" t="s">
        <v>322</v>
      </c>
      <c r="K21" s="23" t="s">
        <v>179</v>
      </c>
      <c r="L21" s="23"/>
      <c r="M21" s="14" t="s">
        <v>182</v>
      </c>
    </row>
    <row r="22" ht="30.0" customHeight="1">
      <c r="A22" s="12" t="s">
        <v>324</v>
      </c>
      <c r="B22" s="12">
        <v>1.0</v>
      </c>
      <c r="C22" s="12">
        <f t="shared" si="1"/>
        <v>18</v>
      </c>
      <c r="D22" s="13" t="s">
        <v>325</v>
      </c>
      <c r="E22" s="13" t="s">
        <v>326</v>
      </c>
      <c r="F22" s="13" t="s">
        <v>294</v>
      </c>
      <c r="G22" s="24">
        <v>60.0</v>
      </c>
      <c r="H22" s="12" t="s">
        <v>174</v>
      </c>
      <c r="I22" s="12" t="s">
        <v>175</v>
      </c>
      <c r="J22" s="13" t="s">
        <v>331</v>
      </c>
      <c r="K22" s="23" t="s">
        <v>179</v>
      </c>
      <c r="L22" s="23"/>
      <c r="M22" s="14" t="s">
        <v>182</v>
      </c>
    </row>
    <row r="23" ht="30.0" customHeight="1">
      <c r="A23" s="19" t="s">
        <v>332</v>
      </c>
      <c r="B23" s="19">
        <v>2.0</v>
      </c>
      <c r="C23" s="19">
        <f t="shared" si="1"/>
        <v>1</v>
      </c>
      <c r="D23" s="20" t="s">
        <v>191</v>
      </c>
      <c r="E23" s="20" t="s">
        <v>334</v>
      </c>
      <c r="F23" s="20" t="s">
        <v>173</v>
      </c>
      <c r="G23" s="22">
        <f>'Parámetros'!$C$8</f>
        <v>3</v>
      </c>
      <c r="H23" s="19" t="s">
        <v>174</v>
      </c>
      <c r="I23" s="19" t="s">
        <v>175</v>
      </c>
      <c r="J23" s="20" t="s">
        <v>197</v>
      </c>
      <c r="K23" s="25" t="s">
        <v>179</v>
      </c>
      <c r="L23" s="25"/>
      <c r="M23" s="21" t="s">
        <v>182</v>
      </c>
    </row>
    <row r="24" ht="30.0" customHeight="1">
      <c r="A24" s="19" t="s">
        <v>341</v>
      </c>
      <c r="B24" s="19">
        <v>2.0</v>
      </c>
      <c r="C24" s="19">
        <f t="shared" si="1"/>
        <v>2</v>
      </c>
      <c r="D24" s="20" t="s">
        <v>200</v>
      </c>
      <c r="E24" s="20" t="s">
        <v>166</v>
      </c>
      <c r="F24" s="20" t="s">
        <v>148</v>
      </c>
      <c r="G24" s="22">
        <f>Estructura!N9</f>
        <v>135</v>
      </c>
      <c r="H24" s="19" t="s">
        <v>174</v>
      </c>
      <c r="I24" s="19" t="s">
        <v>175</v>
      </c>
      <c r="J24" s="20" t="s">
        <v>202</v>
      </c>
      <c r="K24" s="25" t="s">
        <v>179</v>
      </c>
      <c r="L24" s="25"/>
      <c r="M24" s="21" t="s">
        <v>182</v>
      </c>
    </row>
    <row r="25" ht="30.0" customHeight="1">
      <c r="A25" s="19" t="s">
        <v>353</v>
      </c>
      <c r="B25" s="19">
        <v>2.0</v>
      </c>
      <c r="C25" s="19">
        <f t="shared" si="1"/>
        <v>3</v>
      </c>
      <c r="D25" s="20" t="s">
        <v>206</v>
      </c>
      <c r="E25" s="20" t="s">
        <v>354</v>
      </c>
      <c r="F25" s="20" t="s">
        <v>148</v>
      </c>
      <c r="G25" s="22">
        <f>'Parámetros'!$C$6</f>
        <v>15</v>
      </c>
      <c r="H25" s="19" t="s">
        <v>174</v>
      </c>
      <c r="I25" s="19" t="s">
        <v>175</v>
      </c>
      <c r="J25" s="20" t="s">
        <v>216</v>
      </c>
      <c r="K25" s="25" t="s">
        <v>179</v>
      </c>
      <c r="L25" s="25"/>
      <c r="M25" s="21" t="s">
        <v>182</v>
      </c>
    </row>
    <row r="26" ht="30.0" customHeight="1">
      <c r="A26" s="19" t="s">
        <v>356</v>
      </c>
      <c r="B26" s="19">
        <v>2.0</v>
      </c>
      <c r="C26" s="19">
        <f t="shared" si="1"/>
        <v>4</v>
      </c>
      <c r="D26" s="20" t="s">
        <v>200</v>
      </c>
      <c r="E26" s="20" t="s">
        <v>190</v>
      </c>
      <c r="F26" s="20" t="s">
        <v>181</v>
      </c>
      <c r="G26" s="22">
        <f>Estructura!N10</f>
        <v>135</v>
      </c>
      <c r="H26" s="19" t="s">
        <v>174</v>
      </c>
      <c r="I26" s="19" t="s">
        <v>175</v>
      </c>
      <c r="J26" s="20" t="s">
        <v>202</v>
      </c>
      <c r="K26" s="25" t="s">
        <v>179</v>
      </c>
      <c r="L26" s="25"/>
      <c r="M26" s="21" t="s">
        <v>182</v>
      </c>
    </row>
    <row r="27" ht="30.0" customHeight="1">
      <c r="A27" s="19" t="s">
        <v>362</v>
      </c>
      <c r="B27" s="19">
        <v>2.0</v>
      </c>
      <c r="C27" s="19">
        <f t="shared" si="1"/>
        <v>5</v>
      </c>
      <c r="D27" s="20" t="s">
        <v>206</v>
      </c>
      <c r="E27" s="20" t="s">
        <v>363</v>
      </c>
      <c r="F27" s="20" t="s">
        <v>181</v>
      </c>
      <c r="G27" s="22">
        <f>'Parámetros'!$C$6</f>
        <v>15</v>
      </c>
      <c r="H27" s="19" t="s">
        <v>174</v>
      </c>
      <c r="I27" s="19" t="s">
        <v>175</v>
      </c>
      <c r="J27" s="20" t="s">
        <v>216</v>
      </c>
      <c r="K27" s="25" t="s">
        <v>179</v>
      </c>
      <c r="L27" s="25"/>
      <c r="M27" s="21" t="s">
        <v>182</v>
      </c>
    </row>
    <row r="28" ht="30.0" customHeight="1">
      <c r="A28" s="19" t="s">
        <v>369</v>
      </c>
      <c r="B28" s="19">
        <v>2.0</v>
      </c>
      <c r="C28" s="19">
        <f t="shared" si="1"/>
        <v>6</v>
      </c>
      <c r="D28" s="20" t="s">
        <v>200</v>
      </c>
      <c r="E28" s="20" t="s">
        <v>215</v>
      </c>
      <c r="F28" s="20" t="s">
        <v>208</v>
      </c>
      <c r="G28" s="22">
        <f>Estructura!N11</f>
        <v>127.5</v>
      </c>
      <c r="H28" s="19" t="s">
        <v>174</v>
      </c>
      <c r="I28" s="19" t="s">
        <v>175</v>
      </c>
      <c r="J28" s="20" t="s">
        <v>202</v>
      </c>
      <c r="K28" s="25" t="s">
        <v>179</v>
      </c>
      <c r="L28" s="25"/>
      <c r="M28" s="21" t="s">
        <v>182</v>
      </c>
    </row>
    <row r="29" ht="30.0" customHeight="1">
      <c r="A29" s="19" t="s">
        <v>371</v>
      </c>
      <c r="B29" s="19">
        <v>2.0</v>
      </c>
      <c r="C29" s="19">
        <f t="shared" si="1"/>
        <v>7</v>
      </c>
      <c r="D29" s="20" t="s">
        <v>206</v>
      </c>
      <c r="E29" s="20" t="s">
        <v>375</v>
      </c>
      <c r="F29" s="20" t="s">
        <v>208</v>
      </c>
      <c r="G29" s="22">
        <f>'Parámetros'!$C$6</f>
        <v>15</v>
      </c>
      <c r="H29" s="19" t="s">
        <v>174</v>
      </c>
      <c r="I29" s="19" t="s">
        <v>175</v>
      </c>
      <c r="J29" s="20" t="s">
        <v>216</v>
      </c>
      <c r="K29" s="25" t="s">
        <v>179</v>
      </c>
      <c r="L29" s="25"/>
      <c r="M29" s="21" t="s">
        <v>182</v>
      </c>
    </row>
    <row r="30" ht="30.0" customHeight="1">
      <c r="A30" s="19" t="s">
        <v>385</v>
      </c>
      <c r="B30" s="19">
        <v>2.0</v>
      </c>
      <c r="C30" s="19">
        <f t="shared" si="1"/>
        <v>8</v>
      </c>
      <c r="D30" s="20" t="s">
        <v>200</v>
      </c>
      <c r="E30" s="20" t="s">
        <v>236</v>
      </c>
      <c r="F30" s="20" t="s">
        <v>222</v>
      </c>
      <c r="G30" s="22">
        <f>Estructura!N12</f>
        <v>135</v>
      </c>
      <c r="H30" s="19" t="s">
        <v>174</v>
      </c>
      <c r="I30" s="19" t="s">
        <v>175</v>
      </c>
      <c r="J30" s="20" t="s">
        <v>202</v>
      </c>
      <c r="K30" s="25" t="s">
        <v>179</v>
      </c>
      <c r="L30" s="25"/>
      <c r="M30" s="21" t="s">
        <v>182</v>
      </c>
    </row>
    <row r="31" ht="30.0" customHeight="1">
      <c r="A31" s="19" t="s">
        <v>387</v>
      </c>
      <c r="B31" s="19">
        <v>2.0</v>
      </c>
      <c r="C31" s="19">
        <f t="shared" si="1"/>
        <v>9</v>
      </c>
      <c r="D31" s="20" t="s">
        <v>206</v>
      </c>
      <c r="E31" s="20" t="s">
        <v>388</v>
      </c>
      <c r="F31" s="20" t="s">
        <v>222</v>
      </c>
      <c r="G31" s="22">
        <f>'Parámetros'!$C$6</f>
        <v>15</v>
      </c>
      <c r="H31" s="19" t="s">
        <v>174</v>
      </c>
      <c r="I31" s="19" t="s">
        <v>175</v>
      </c>
      <c r="J31" s="20" t="s">
        <v>216</v>
      </c>
      <c r="K31" s="25" t="s">
        <v>179</v>
      </c>
      <c r="L31" s="25"/>
      <c r="M31" s="21" t="s">
        <v>182</v>
      </c>
    </row>
    <row r="32" ht="30.0" customHeight="1">
      <c r="A32" s="19" t="s">
        <v>392</v>
      </c>
      <c r="B32" s="19">
        <v>2.0</v>
      </c>
      <c r="C32" s="19">
        <f t="shared" si="1"/>
        <v>10</v>
      </c>
      <c r="D32" s="20" t="s">
        <v>269</v>
      </c>
      <c r="E32" s="20" t="s">
        <v>393</v>
      </c>
      <c r="F32" s="20" t="s">
        <v>395</v>
      </c>
      <c r="G32" s="22">
        <f>'Parámetros'!$C$10</f>
        <v>90</v>
      </c>
      <c r="H32" s="19" t="s">
        <v>174</v>
      </c>
      <c r="I32" s="19" t="s">
        <v>174</v>
      </c>
      <c r="J32" s="20" t="s">
        <v>276</v>
      </c>
      <c r="K32" s="25" t="s">
        <v>179</v>
      </c>
      <c r="L32" s="25"/>
      <c r="M32" s="21" t="s">
        <v>182</v>
      </c>
    </row>
    <row r="33" ht="30.0" customHeight="1">
      <c r="A33" s="19" t="s">
        <v>400</v>
      </c>
      <c r="B33" s="19">
        <v>2.0</v>
      </c>
      <c r="C33" s="19">
        <f t="shared" si="1"/>
        <v>11</v>
      </c>
      <c r="D33" s="20" t="s">
        <v>278</v>
      </c>
      <c r="E33" s="20" t="s">
        <v>405</v>
      </c>
      <c r="F33" s="20" t="s">
        <v>406</v>
      </c>
      <c r="G33" s="22">
        <f>'Parámetros'!$C$10</f>
        <v>90</v>
      </c>
      <c r="H33" s="19" t="s">
        <v>174</v>
      </c>
      <c r="I33" s="19" t="s">
        <v>175</v>
      </c>
      <c r="J33" s="20" t="s">
        <v>276</v>
      </c>
      <c r="K33" s="25" t="s">
        <v>179</v>
      </c>
      <c r="L33" s="25"/>
      <c r="M33" s="21" t="s">
        <v>182</v>
      </c>
    </row>
    <row r="34" ht="30.0" customHeight="1">
      <c r="A34" s="19" t="s">
        <v>409</v>
      </c>
      <c r="B34" s="19">
        <v>2.0</v>
      </c>
      <c r="C34" s="19">
        <f t="shared" si="1"/>
        <v>12</v>
      </c>
      <c r="D34" s="20" t="s">
        <v>278</v>
      </c>
      <c r="E34" s="20" t="s">
        <v>410</v>
      </c>
      <c r="F34" s="20" t="s">
        <v>411</v>
      </c>
      <c r="G34" s="22">
        <f>'Parámetros'!$C$10</f>
        <v>90</v>
      </c>
      <c r="H34" s="19" t="s">
        <v>174</v>
      </c>
      <c r="I34" s="19" t="s">
        <v>175</v>
      </c>
      <c r="J34" s="20" t="s">
        <v>276</v>
      </c>
      <c r="K34" s="25" t="s">
        <v>179</v>
      </c>
      <c r="L34" s="25"/>
      <c r="M34" s="21" t="s">
        <v>182</v>
      </c>
    </row>
    <row r="35" ht="30.0" customHeight="1">
      <c r="A35" s="19" t="s">
        <v>413</v>
      </c>
      <c r="B35" s="19">
        <v>2.0</v>
      </c>
      <c r="C35" s="19">
        <f t="shared" si="1"/>
        <v>13</v>
      </c>
      <c r="D35" s="20" t="s">
        <v>292</v>
      </c>
      <c r="E35" s="20" t="s">
        <v>414</v>
      </c>
      <c r="F35" s="20" t="s">
        <v>415</v>
      </c>
      <c r="G35" s="22">
        <f>'Parámetros'!$C$7</f>
        <v>30</v>
      </c>
      <c r="H35" s="19" t="s">
        <v>174</v>
      </c>
      <c r="I35" s="19" t="s">
        <v>174</v>
      </c>
      <c r="J35" s="20" t="s">
        <v>299</v>
      </c>
      <c r="K35" s="25" t="s">
        <v>179</v>
      </c>
      <c r="L35" s="25"/>
      <c r="M35" s="21" t="s">
        <v>182</v>
      </c>
    </row>
    <row r="36" ht="30.0" customHeight="1">
      <c r="A36" s="19" t="s">
        <v>416</v>
      </c>
      <c r="B36" s="19">
        <v>2.0</v>
      </c>
      <c r="C36" s="19">
        <f t="shared" si="1"/>
        <v>14</v>
      </c>
      <c r="D36" s="20" t="s">
        <v>191</v>
      </c>
      <c r="E36" s="20" t="s">
        <v>417</v>
      </c>
      <c r="F36" s="20" t="s">
        <v>173</v>
      </c>
      <c r="G36" s="22">
        <f>'Parámetros'!$C$9</f>
        <v>3</v>
      </c>
      <c r="H36" s="19" t="s">
        <v>174</v>
      </c>
      <c r="I36" s="19" t="s">
        <v>175</v>
      </c>
      <c r="J36" s="20" t="s">
        <v>197</v>
      </c>
      <c r="K36" s="25" t="s">
        <v>179</v>
      </c>
      <c r="L36" s="25"/>
      <c r="M36" s="21" t="s">
        <v>182</v>
      </c>
    </row>
    <row r="37" ht="30.0" customHeight="1">
      <c r="A37" s="19" t="s">
        <v>424</v>
      </c>
      <c r="B37" s="19">
        <v>2.0</v>
      </c>
      <c r="C37" s="19">
        <f t="shared" si="1"/>
        <v>15</v>
      </c>
      <c r="D37" s="20" t="s">
        <v>304</v>
      </c>
      <c r="E37" s="20" t="s">
        <v>426</v>
      </c>
      <c r="F37" s="20" t="s">
        <v>173</v>
      </c>
      <c r="G37" s="29">
        <v>1.5</v>
      </c>
      <c r="H37" s="19" t="s">
        <v>174</v>
      </c>
      <c r="I37" s="19" t="s">
        <v>175</v>
      </c>
      <c r="J37" s="20" t="s">
        <v>310</v>
      </c>
      <c r="K37" s="25" t="s">
        <v>179</v>
      </c>
      <c r="L37" s="25"/>
      <c r="M37" s="21" t="s">
        <v>182</v>
      </c>
    </row>
    <row r="38" ht="30.0" customHeight="1">
      <c r="A38" s="19" t="s">
        <v>427</v>
      </c>
      <c r="B38" s="19">
        <v>2.0</v>
      </c>
      <c r="C38" s="19">
        <f t="shared" si="1"/>
        <v>16</v>
      </c>
      <c r="D38" s="20" t="s">
        <v>320</v>
      </c>
      <c r="E38" s="20" t="s">
        <v>428</v>
      </c>
      <c r="F38" s="20" t="s">
        <v>173</v>
      </c>
      <c r="G38" s="22">
        <v>0.0</v>
      </c>
      <c r="H38" s="19" t="s">
        <v>175</v>
      </c>
      <c r="I38" s="19" t="s">
        <v>175</v>
      </c>
      <c r="J38" s="20" t="s">
        <v>322</v>
      </c>
      <c r="K38" s="25" t="s">
        <v>179</v>
      </c>
      <c r="L38" s="25"/>
      <c r="M38" s="21" t="s">
        <v>182</v>
      </c>
    </row>
    <row r="39" ht="30.0" customHeight="1">
      <c r="A39" s="19" t="s">
        <v>429</v>
      </c>
      <c r="B39" s="19">
        <v>2.0</v>
      </c>
      <c r="C39" s="19">
        <f t="shared" si="1"/>
        <v>17</v>
      </c>
      <c r="D39" s="20" t="s">
        <v>325</v>
      </c>
      <c r="E39" s="20" t="s">
        <v>430</v>
      </c>
      <c r="F39" s="20" t="s">
        <v>415</v>
      </c>
      <c r="G39" s="29">
        <v>60.0</v>
      </c>
      <c r="H39" s="19" t="s">
        <v>174</v>
      </c>
      <c r="I39" s="19" t="s">
        <v>175</v>
      </c>
      <c r="J39" s="20" t="s">
        <v>331</v>
      </c>
      <c r="K39" s="25" t="s">
        <v>179</v>
      </c>
      <c r="L39" s="25"/>
      <c r="M39" s="21" t="s">
        <v>182</v>
      </c>
    </row>
    <row r="40" ht="30.0" customHeight="1">
      <c r="A40" s="12" t="s">
        <v>431</v>
      </c>
      <c r="B40" s="12">
        <v>3.0</v>
      </c>
      <c r="C40" s="12">
        <f t="shared" si="1"/>
        <v>1</v>
      </c>
      <c r="D40" s="13" t="s">
        <v>191</v>
      </c>
      <c r="E40" s="13" t="s">
        <v>432</v>
      </c>
      <c r="F40" s="13" t="s">
        <v>173</v>
      </c>
      <c r="G40" s="15">
        <f>'Parámetros'!$C$8</f>
        <v>3</v>
      </c>
      <c r="H40" s="12" t="s">
        <v>174</v>
      </c>
      <c r="I40" s="12" t="s">
        <v>175</v>
      </c>
      <c r="J40" s="13" t="s">
        <v>197</v>
      </c>
      <c r="K40" s="23" t="s">
        <v>179</v>
      </c>
      <c r="L40" s="23"/>
      <c r="M40" s="14" t="s">
        <v>182</v>
      </c>
    </row>
    <row r="41" ht="30.0" customHeight="1">
      <c r="A41" s="12" t="s">
        <v>441</v>
      </c>
      <c r="B41" s="12">
        <v>3.0</v>
      </c>
      <c r="C41" s="12">
        <f t="shared" si="1"/>
        <v>2</v>
      </c>
      <c r="D41" s="13" t="s">
        <v>200</v>
      </c>
      <c r="E41" s="13" t="s">
        <v>260</v>
      </c>
      <c r="F41" s="13" t="s">
        <v>229</v>
      </c>
      <c r="G41" s="15">
        <f>Estructura!N13</f>
        <v>135</v>
      </c>
      <c r="H41" s="12" t="s">
        <v>174</v>
      </c>
      <c r="I41" s="12" t="s">
        <v>175</v>
      </c>
      <c r="J41" s="13" t="s">
        <v>202</v>
      </c>
      <c r="K41" s="23" t="s">
        <v>179</v>
      </c>
      <c r="L41" s="23"/>
      <c r="M41" s="14" t="s">
        <v>182</v>
      </c>
    </row>
    <row r="42" ht="30.0" customHeight="1">
      <c r="A42" s="12" t="s">
        <v>444</v>
      </c>
      <c r="B42" s="12">
        <v>3.0</v>
      </c>
      <c r="C42" s="12">
        <f t="shared" si="1"/>
        <v>3</v>
      </c>
      <c r="D42" s="13" t="s">
        <v>206</v>
      </c>
      <c r="E42" s="13" t="s">
        <v>445</v>
      </c>
      <c r="F42" s="13" t="s">
        <v>229</v>
      </c>
      <c r="G42" s="15">
        <f>'Parámetros'!$C$6</f>
        <v>15</v>
      </c>
      <c r="H42" s="12" t="s">
        <v>174</v>
      </c>
      <c r="I42" s="12" t="s">
        <v>175</v>
      </c>
      <c r="J42" s="13" t="s">
        <v>216</v>
      </c>
      <c r="K42" s="23" t="s">
        <v>179</v>
      </c>
      <c r="L42" s="23"/>
      <c r="M42" s="14" t="s">
        <v>182</v>
      </c>
    </row>
    <row r="43" ht="30.0" customHeight="1">
      <c r="A43" s="12" t="s">
        <v>446</v>
      </c>
      <c r="B43" s="12">
        <v>3.0</v>
      </c>
      <c r="C43" s="12">
        <f t="shared" si="1"/>
        <v>4</v>
      </c>
      <c r="D43" s="13" t="s">
        <v>200</v>
      </c>
      <c r="E43" s="13" t="s">
        <v>289</v>
      </c>
      <c r="F43" s="13" t="s">
        <v>243</v>
      </c>
      <c r="G43" s="15">
        <f>Estructura!N14</f>
        <v>135</v>
      </c>
      <c r="H43" s="12" t="s">
        <v>174</v>
      </c>
      <c r="I43" s="12" t="s">
        <v>175</v>
      </c>
      <c r="J43" s="13" t="s">
        <v>202</v>
      </c>
      <c r="K43" s="23" t="s">
        <v>179</v>
      </c>
      <c r="L43" s="23"/>
      <c r="M43" s="14" t="s">
        <v>182</v>
      </c>
    </row>
    <row r="44" ht="30.0" customHeight="1">
      <c r="A44" s="12" t="s">
        <v>447</v>
      </c>
      <c r="B44" s="12">
        <v>3.0</v>
      </c>
      <c r="C44" s="12">
        <f t="shared" si="1"/>
        <v>5</v>
      </c>
      <c r="D44" s="13" t="s">
        <v>206</v>
      </c>
      <c r="E44" s="13" t="s">
        <v>448</v>
      </c>
      <c r="F44" s="13" t="s">
        <v>243</v>
      </c>
      <c r="G44" s="15">
        <f>'Parámetros'!$C$6</f>
        <v>15</v>
      </c>
      <c r="H44" s="12" t="s">
        <v>174</v>
      </c>
      <c r="I44" s="12" t="s">
        <v>175</v>
      </c>
      <c r="J44" s="13" t="s">
        <v>216</v>
      </c>
      <c r="K44" s="23" t="s">
        <v>179</v>
      </c>
      <c r="L44" s="23"/>
      <c r="M44" s="14" t="s">
        <v>182</v>
      </c>
    </row>
    <row r="45" ht="30.0" customHeight="1">
      <c r="A45" s="12" t="s">
        <v>456</v>
      </c>
      <c r="B45" s="12">
        <v>3.0</v>
      </c>
      <c r="C45" s="12">
        <f t="shared" si="1"/>
        <v>6</v>
      </c>
      <c r="D45" s="13" t="s">
        <v>200</v>
      </c>
      <c r="E45" s="13" t="s">
        <v>319</v>
      </c>
      <c r="F45" s="13" t="s">
        <v>251</v>
      </c>
      <c r="G45" s="15">
        <f>Estructura!N15</f>
        <v>127.5</v>
      </c>
      <c r="H45" s="12" t="s">
        <v>174</v>
      </c>
      <c r="I45" s="12" t="s">
        <v>175</v>
      </c>
      <c r="J45" s="13" t="s">
        <v>202</v>
      </c>
      <c r="K45" s="23" t="s">
        <v>179</v>
      </c>
      <c r="L45" s="23"/>
      <c r="M45" s="14" t="s">
        <v>182</v>
      </c>
    </row>
    <row r="46" ht="30.0" customHeight="1">
      <c r="A46" s="12" t="s">
        <v>458</v>
      </c>
      <c r="B46" s="12">
        <v>3.0</v>
      </c>
      <c r="C46" s="12">
        <f t="shared" si="1"/>
        <v>7</v>
      </c>
      <c r="D46" s="13" t="s">
        <v>206</v>
      </c>
      <c r="E46" s="13" t="s">
        <v>459</v>
      </c>
      <c r="F46" s="13" t="s">
        <v>251</v>
      </c>
      <c r="G46" s="15">
        <f>'Parámetros'!$C$6</f>
        <v>15</v>
      </c>
      <c r="H46" s="12" t="s">
        <v>174</v>
      </c>
      <c r="I46" s="12" t="s">
        <v>175</v>
      </c>
      <c r="J46" s="13" t="s">
        <v>216</v>
      </c>
      <c r="K46" s="23" t="s">
        <v>179</v>
      </c>
      <c r="L46" s="23"/>
      <c r="M46" s="14" t="s">
        <v>182</v>
      </c>
    </row>
    <row r="47" ht="30.0" customHeight="1">
      <c r="A47" s="12" t="s">
        <v>460</v>
      </c>
      <c r="B47" s="12">
        <v>3.0</v>
      </c>
      <c r="C47" s="12">
        <f t="shared" si="1"/>
        <v>8</v>
      </c>
      <c r="D47" s="13" t="s">
        <v>200</v>
      </c>
      <c r="E47" s="13" t="s">
        <v>347</v>
      </c>
      <c r="F47" s="13" t="s">
        <v>267</v>
      </c>
      <c r="G47" s="15">
        <f>Estructura!N16</f>
        <v>135</v>
      </c>
      <c r="H47" s="12" t="s">
        <v>174</v>
      </c>
      <c r="I47" s="12" t="s">
        <v>175</v>
      </c>
      <c r="J47" s="13" t="s">
        <v>202</v>
      </c>
      <c r="K47" s="23" t="s">
        <v>179</v>
      </c>
      <c r="L47" s="23"/>
      <c r="M47" s="14" t="s">
        <v>182</v>
      </c>
    </row>
    <row r="48" ht="30.0" customHeight="1">
      <c r="A48" s="12" t="s">
        <v>466</v>
      </c>
      <c r="B48" s="12">
        <v>3.0</v>
      </c>
      <c r="C48" s="12">
        <f t="shared" si="1"/>
        <v>9</v>
      </c>
      <c r="D48" s="13" t="s">
        <v>206</v>
      </c>
      <c r="E48" s="13" t="s">
        <v>468</v>
      </c>
      <c r="F48" s="13" t="s">
        <v>267</v>
      </c>
      <c r="G48" s="15">
        <f>'Parámetros'!$C$6</f>
        <v>15</v>
      </c>
      <c r="H48" s="12" t="s">
        <v>174</v>
      </c>
      <c r="I48" s="12" t="s">
        <v>175</v>
      </c>
      <c r="J48" s="13" t="s">
        <v>216</v>
      </c>
      <c r="K48" s="23" t="s">
        <v>179</v>
      </c>
      <c r="L48" s="23"/>
      <c r="M48" s="14" t="s">
        <v>182</v>
      </c>
    </row>
    <row r="49" ht="30.0" customHeight="1">
      <c r="A49" s="12" t="s">
        <v>470</v>
      </c>
      <c r="B49" s="12">
        <v>3.0</v>
      </c>
      <c r="C49" s="12">
        <f t="shared" si="1"/>
        <v>10</v>
      </c>
      <c r="D49" s="13" t="s">
        <v>269</v>
      </c>
      <c r="E49" s="13" t="s">
        <v>471</v>
      </c>
      <c r="F49" s="13" t="s">
        <v>472</v>
      </c>
      <c r="G49" s="15">
        <f>'Parámetros'!$C$10</f>
        <v>90</v>
      </c>
      <c r="H49" s="12" t="s">
        <v>174</v>
      </c>
      <c r="I49" s="12" t="s">
        <v>174</v>
      </c>
      <c r="J49" s="13" t="s">
        <v>276</v>
      </c>
      <c r="K49" s="23" t="s">
        <v>179</v>
      </c>
      <c r="L49" s="23"/>
      <c r="M49" s="14" t="s">
        <v>182</v>
      </c>
    </row>
    <row r="50" ht="30.0" customHeight="1">
      <c r="A50" s="12" t="s">
        <v>473</v>
      </c>
      <c r="B50" s="12">
        <v>3.0</v>
      </c>
      <c r="C50" s="12">
        <f t="shared" si="1"/>
        <v>11</v>
      </c>
      <c r="D50" s="13" t="s">
        <v>278</v>
      </c>
      <c r="E50" s="13" t="s">
        <v>474</v>
      </c>
      <c r="F50" s="13" t="s">
        <v>475</v>
      </c>
      <c r="G50" s="15">
        <f>'Parámetros'!$C$10</f>
        <v>90</v>
      </c>
      <c r="H50" s="12" t="s">
        <v>174</v>
      </c>
      <c r="I50" s="12" t="s">
        <v>175</v>
      </c>
      <c r="J50" s="13" t="s">
        <v>276</v>
      </c>
      <c r="K50" s="23" t="s">
        <v>179</v>
      </c>
      <c r="L50" s="23"/>
      <c r="M50" s="14" t="s">
        <v>182</v>
      </c>
    </row>
    <row r="51" ht="30.0" customHeight="1">
      <c r="A51" s="12" t="s">
        <v>476</v>
      </c>
      <c r="B51" s="12">
        <v>3.0</v>
      </c>
      <c r="C51" s="12">
        <f t="shared" si="1"/>
        <v>12</v>
      </c>
      <c r="D51" s="13" t="s">
        <v>278</v>
      </c>
      <c r="E51" s="13" t="s">
        <v>479</v>
      </c>
      <c r="F51" s="13" t="s">
        <v>267</v>
      </c>
      <c r="G51" s="15">
        <f>'Parámetros'!$C$10</f>
        <v>90</v>
      </c>
      <c r="H51" s="12" t="s">
        <v>174</v>
      </c>
      <c r="I51" s="12" t="s">
        <v>175</v>
      </c>
      <c r="J51" s="13" t="s">
        <v>276</v>
      </c>
      <c r="K51" s="23" t="s">
        <v>179</v>
      </c>
      <c r="L51" s="23"/>
      <c r="M51" s="14" t="s">
        <v>182</v>
      </c>
    </row>
    <row r="52" ht="30.0" customHeight="1">
      <c r="A52" s="12" t="s">
        <v>485</v>
      </c>
      <c r="B52" s="12">
        <v>3.0</v>
      </c>
      <c r="C52" s="12">
        <f t="shared" si="1"/>
        <v>13</v>
      </c>
      <c r="D52" s="13" t="s">
        <v>292</v>
      </c>
      <c r="E52" s="13" t="s">
        <v>486</v>
      </c>
      <c r="F52" s="13" t="s">
        <v>487</v>
      </c>
      <c r="G52" s="15">
        <f>'Parámetros'!$C$7</f>
        <v>30</v>
      </c>
      <c r="H52" s="12" t="s">
        <v>174</v>
      </c>
      <c r="I52" s="12" t="s">
        <v>174</v>
      </c>
      <c r="J52" s="13" t="s">
        <v>299</v>
      </c>
      <c r="K52" s="23" t="s">
        <v>179</v>
      </c>
      <c r="L52" s="23"/>
      <c r="M52" s="14" t="s">
        <v>182</v>
      </c>
    </row>
    <row r="53" ht="30.0" customHeight="1">
      <c r="A53" s="12" t="s">
        <v>489</v>
      </c>
      <c r="B53" s="12">
        <v>3.0</v>
      </c>
      <c r="C53" s="12">
        <f t="shared" si="1"/>
        <v>14</v>
      </c>
      <c r="D53" s="13" t="s">
        <v>191</v>
      </c>
      <c r="E53" s="13" t="s">
        <v>490</v>
      </c>
      <c r="F53" s="13" t="s">
        <v>173</v>
      </c>
      <c r="G53" s="15">
        <f>'Parámetros'!$C$9</f>
        <v>3</v>
      </c>
      <c r="H53" s="12" t="s">
        <v>174</v>
      </c>
      <c r="I53" s="12" t="s">
        <v>175</v>
      </c>
      <c r="J53" s="13" t="s">
        <v>197</v>
      </c>
      <c r="K53" s="23" t="s">
        <v>179</v>
      </c>
      <c r="L53" s="23"/>
      <c r="M53" s="14" t="s">
        <v>182</v>
      </c>
    </row>
    <row r="54" ht="30.0" customHeight="1">
      <c r="A54" s="12" t="s">
        <v>491</v>
      </c>
      <c r="B54" s="12">
        <v>3.0</v>
      </c>
      <c r="C54" s="12">
        <f t="shared" si="1"/>
        <v>15</v>
      </c>
      <c r="D54" s="13" t="s">
        <v>304</v>
      </c>
      <c r="E54" s="13" t="s">
        <v>492</v>
      </c>
      <c r="F54" s="13" t="s">
        <v>173</v>
      </c>
      <c r="G54" s="24">
        <v>1.5</v>
      </c>
      <c r="H54" s="12" t="s">
        <v>174</v>
      </c>
      <c r="I54" s="12" t="s">
        <v>175</v>
      </c>
      <c r="J54" s="13" t="s">
        <v>310</v>
      </c>
      <c r="K54" s="23" t="s">
        <v>179</v>
      </c>
      <c r="L54" s="23"/>
      <c r="M54" s="14" t="s">
        <v>182</v>
      </c>
    </row>
    <row r="55" ht="30.0" customHeight="1">
      <c r="A55" s="12" t="s">
        <v>493</v>
      </c>
      <c r="B55" s="12">
        <v>3.0</v>
      </c>
      <c r="C55" s="12">
        <f t="shared" si="1"/>
        <v>16</v>
      </c>
      <c r="D55" s="13" t="s">
        <v>320</v>
      </c>
      <c r="E55" s="13" t="s">
        <v>495</v>
      </c>
      <c r="F55" s="13" t="s">
        <v>173</v>
      </c>
      <c r="G55" s="15">
        <v>0.0</v>
      </c>
      <c r="H55" s="12" t="s">
        <v>175</v>
      </c>
      <c r="I55" s="12" t="s">
        <v>175</v>
      </c>
      <c r="J55" s="13" t="s">
        <v>322</v>
      </c>
      <c r="K55" s="23" t="s">
        <v>179</v>
      </c>
      <c r="L55" s="23"/>
      <c r="M55" s="14" t="s">
        <v>182</v>
      </c>
    </row>
    <row r="56" ht="30.0" customHeight="1">
      <c r="A56" s="12" t="s">
        <v>501</v>
      </c>
      <c r="B56" s="12">
        <v>3.0</v>
      </c>
      <c r="C56" s="12">
        <f t="shared" si="1"/>
        <v>17</v>
      </c>
      <c r="D56" s="13" t="s">
        <v>325</v>
      </c>
      <c r="E56" s="13" t="s">
        <v>503</v>
      </c>
      <c r="F56" s="13" t="s">
        <v>487</v>
      </c>
      <c r="G56" s="24">
        <v>60.0</v>
      </c>
      <c r="H56" s="12" t="s">
        <v>174</v>
      </c>
      <c r="I56" s="12" t="s">
        <v>175</v>
      </c>
      <c r="J56" s="13" t="s">
        <v>331</v>
      </c>
      <c r="K56" s="23" t="s">
        <v>179</v>
      </c>
      <c r="L56" s="23"/>
      <c r="M56" s="14" t="s">
        <v>182</v>
      </c>
    </row>
    <row r="57" ht="30.0" customHeight="1">
      <c r="A57" s="19" t="s">
        <v>505</v>
      </c>
      <c r="B57" s="19">
        <v>4.0</v>
      </c>
      <c r="C57" s="19">
        <f t="shared" si="1"/>
        <v>1</v>
      </c>
      <c r="D57" s="20" t="s">
        <v>191</v>
      </c>
      <c r="E57" s="20" t="s">
        <v>506</v>
      </c>
      <c r="F57" s="20" t="s">
        <v>173</v>
      </c>
      <c r="G57" s="22">
        <f>'Parámetros'!$C$8</f>
        <v>3</v>
      </c>
      <c r="H57" s="19" t="s">
        <v>174</v>
      </c>
      <c r="I57" s="19" t="s">
        <v>175</v>
      </c>
      <c r="J57" s="20" t="s">
        <v>197</v>
      </c>
      <c r="K57" s="25" t="s">
        <v>179</v>
      </c>
      <c r="L57" s="25"/>
      <c r="M57" s="21" t="s">
        <v>182</v>
      </c>
    </row>
    <row r="58" ht="30.0" customHeight="1">
      <c r="A58" s="19" t="s">
        <v>507</v>
      </c>
      <c r="B58" s="19">
        <v>4.0</v>
      </c>
      <c r="C58" s="19">
        <f t="shared" si="1"/>
        <v>2</v>
      </c>
      <c r="D58" s="20" t="s">
        <v>200</v>
      </c>
      <c r="E58" s="20" t="s">
        <v>381</v>
      </c>
      <c r="F58" s="20" t="s">
        <v>279</v>
      </c>
      <c r="G58" s="22">
        <f>Estructura!N17</f>
        <v>112.5</v>
      </c>
      <c r="H58" s="19" t="s">
        <v>174</v>
      </c>
      <c r="I58" s="19" t="s">
        <v>175</v>
      </c>
      <c r="J58" s="20" t="s">
        <v>202</v>
      </c>
      <c r="K58" s="25" t="s">
        <v>179</v>
      </c>
      <c r="L58" s="25"/>
      <c r="M58" s="21" t="s">
        <v>182</v>
      </c>
    </row>
    <row r="59" ht="30.0" customHeight="1">
      <c r="A59" s="19" t="s">
        <v>508</v>
      </c>
      <c r="B59" s="19">
        <v>4.0</v>
      </c>
      <c r="C59" s="19">
        <f t="shared" si="1"/>
        <v>3</v>
      </c>
      <c r="D59" s="20" t="s">
        <v>206</v>
      </c>
      <c r="E59" s="20" t="s">
        <v>509</v>
      </c>
      <c r="F59" s="20" t="s">
        <v>279</v>
      </c>
      <c r="G59" s="22">
        <f>'Parámetros'!$C$6</f>
        <v>15</v>
      </c>
      <c r="H59" s="19" t="s">
        <v>174</v>
      </c>
      <c r="I59" s="19" t="s">
        <v>175</v>
      </c>
      <c r="J59" s="20" t="s">
        <v>216</v>
      </c>
      <c r="K59" s="25" t="s">
        <v>179</v>
      </c>
      <c r="L59" s="25"/>
      <c r="M59" s="21" t="s">
        <v>182</v>
      </c>
    </row>
    <row r="60" ht="30.0" customHeight="1">
      <c r="A60" s="19" t="s">
        <v>516</v>
      </c>
      <c r="B60" s="19">
        <v>4.0</v>
      </c>
      <c r="C60" s="19">
        <f t="shared" si="1"/>
        <v>4</v>
      </c>
      <c r="D60" s="20" t="s">
        <v>200</v>
      </c>
      <c r="E60" s="20" t="s">
        <v>402</v>
      </c>
      <c r="F60" s="20" t="s">
        <v>302</v>
      </c>
      <c r="G60" s="22">
        <f>Estructura!N18</f>
        <v>112.5</v>
      </c>
      <c r="H60" s="19" t="s">
        <v>174</v>
      </c>
      <c r="I60" s="19" t="s">
        <v>175</v>
      </c>
      <c r="J60" s="20" t="s">
        <v>202</v>
      </c>
      <c r="K60" s="25" t="s">
        <v>179</v>
      </c>
      <c r="L60" s="25"/>
      <c r="M60" s="21" t="s">
        <v>182</v>
      </c>
    </row>
    <row r="61" ht="30.0" customHeight="1">
      <c r="A61" s="19" t="s">
        <v>519</v>
      </c>
      <c r="B61" s="19">
        <v>4.0</v>
      </c>
      <c r="C61" s="19">
        <f t="shared" si="1"/>
        <v>5</v>
      </c>
      <c r="D61" s="20" t="s">
        <v>206</v>
      </c>
      <c r="E61" s="20" t="s">
        <v>521</v>
      </c>
      <c r="F61" s="20" t="s">
        <v>302</v>
      </c>
      <c r="G61" s="22">
        <f>'Parámetros'!$C$6</f>
        <v>15</v>
      </c>
      <c r="H61" s="19" t="s">
        <v>174</v>
      </c>
      <c r="I61" s="19" t="s">
        <v>175</v>
      </c>
      <c r="J61" s="20" t="s">
        <v>216</v>
      </c>
      <c r="K61" s="25" t="s">
        <v>179</v>
      </c>
      <c r="L61" s="25"/>
      <c r="M61" s="21" t="s">
        <v>182</v>
      </c>
    </row>
    <row r="62" ht="30.0" customHeight="1">
      <c r="A62" s="19" t="s">
        <v>536</v>
      </c>
      <c r="B62" s="19">
        <v>4.0</v>
      </c>
      <c r="C62" s="19">
        <f t="shared" si="1"/>
        <v>6</v>
      </c>
      <c r="D62" s="20" t="s">
        <v>200</v>
      </c>
      <c r="E62" s="20" t="s">
        <v>423</v>
      </c>
      <c r="F62" s="20" t="s">
        <v>316</v>
      </c>
      <c r="G62" s="22">
        <f>Estructura!N19</f>
        <v>105</v>
      </c>
      <c r="H62" s="19" t="s">
        <v>174</v>
      </c>
      <c r="I62" s="19" t="s">
        <v>175</v>
      </c>
      <c r="J62" s="20" t="s">
        <v>202</v>
      </c>
      <c r="K62" s="25" t="s">
        <v>179</v>
      </c>
      <c r="L62" s="25"/>
      <c r="M62" s="21" t="s">
        <v>182</v>
      </c>
    </row>
    <row r="63" ht="30.0" customHeight="1">
      <c r="A63" s="19" t="s">
        <v>540</v>
      </c>
      <c r="B63" s="19">
        <v>4.0</v>
      </c>
      <c r="C63" s="19">
        <f t="shared" si="1"/>
        <v>7</v>
      </c>
      <c r="D63" s="20" t="s">
        <v>206</v>
      </c>
      <c r="E63" s="20" t="s">
        <v>543</v>
      </c>
      <c r="F63" s="20" t="s">
        <v>316</v>
      </c>
      <c r="G63" s="22">
        <f>'Parámetros'!$C$6</f>
        <v>15</v>
      </c>
      <c r="H63" s="19" t="s">
        <v>174</v>
      </c>
      <c r="I63" s="19" t="s">
        <v>175</v>
      </c>
      <c r="J63" s="20" t="s">
        <v>216</v>
      </c>
      <c r="K63" s="25" t="s">
        <v>179</v>
      </c>
      <c r="L63" s="25"/>
      <c r="M63" s="21" t="s">
        <v>182</v>
      </c>
    </row>
    <row r="64" ht="30.0" customHeight="1">
      <c r="A64" s="19" t="s">
        <v>550</v>
      </c>
      <c r="B64" s="19">
        <v>4.0</v>
      </c>
      <c r="C64" s="19">
        <f t="shared" si="1"/>
        <v>8</v>
      </c>
      <c r="D64" s="20" t="s">
        <v>200</v>
      </c>
      <c r="E64" s="20" t="s">
        <v>442</v>
      </c>
      <c r="F64" s="20" t="s">
        <v>333</v>
      </c>
      <c r="G64" s="22">
        <f>Estructura!N20</f>
        <v>112.5</v>
      </c>
      <c r="H64" s="19" t="s">
        <v>174</v>
      </c>
      <c r="I64" s="19" t="s">
        <v>175</v>
      </c>
      <c r="J64" s="20" t="s">
        <v>202</v>
      </c>
      <c r="K64" s="25" t="s">
        <v>179</v>
      </c>
      <c r="L64" s="25"/>
      <c r="M64" s="21" t="s">
        <v>182</v>
      </c>
    </row>
    <row r="65" ht="30.0" customHeight="1">
      <c r="A65" s="19" t="s">
        <v>554</v>
      </c>
      <c r="B65" s="19">
        <v>4.0</v>
      </c>
      <c r="C65" s="19">
        <f t="shared" si="1"/>
        <v>9</v>
      </c>
      <c r="D65" s="20" t="s">
        <v>206</v>
      </c>
      <c r="E65" s="20" t="s">
        <v>555</v>
      </c>
      <c r="F65" s="20" t="s">
        <v>333</v>
      </c>
      <c r="G65" s="22">
        <f>'Parámetros'!$C$6</f>
        <v>15</v>
      </c>
      <c r="H65" s="19" t="s">
        <v>174</v>
      </c>
      <c r="I65" s="19" t="s">
        <v>175</v>
      </c>
      <c r="J65" s="20" t="s">
        <v>216</v>
      </c>
      <c r="K65" s="25" t="s">
        <v>179</v>
      </c>
      <c r="L65" s="25"/>
      <c r="M65" s="21" t="s">
        <v>182</v>
      </c>
    </row>
    <row r="66" ht="30.0" customHeight="1">
      <c r="A66" s="19" t="s">
        <v>558</v>
      </c>
      <c r="B66" s="19">
        <v>4.0</v>
      </c>
      <c r="C66" s="19">
        <f t="shared" si="1"/>
        <v>10</v>
      </c>
      <c r="D66" s="20" t="s">
        <v>269</v>
      </c>
      <c r="E66" s="20" t="s">
        <v>561</v>
      </c>
      <c r="F66" s="20" t="s">
        <v>562</v>
      </c>
      <c r="G66" s="22">
        <f>'Parámetros'!$C$10</f>
        <v>90</v>
      </c>
      <c r="H66" s="19" t="s">
        <v>174</v>
      </c>
      <c r="I66" s="19" t="s">
        <v>174</v>
      </c>
      <c r="J66" s="20" t="s">
        <v>276</v>
      </c>
      <c r="K66" s="25" t="s">
        <v>179</v>
      </c>
      <c r="L66" s="25"/>
      <c r="M66" s="21" t="s">
        <v>182</v>
      </c>
    </row>
    <row r="67" ht="30.0" customHeight="1">
      <c r="A67" s="19" t="s">
        <v>564</v>
      </c>
      <c r="B67" s="19">
        <v>4.0</v>
      </c>
      <c r="C67" s="19">
        <f t="shared" si="1"/>
        <v>11</v>
      </c>
      <c r="D67" s="20" t="s">
        <v>278</v>
      </c>
      <c r="E67" s="20" t="s">
        <v>566</v>
      </c>
      <c r="F67" s="20" t="s">
        <v>562</v>
      </c>
      <c r="G67" s="22">
        <f>'Parámetros'!$C$10</f>
        <v>90</v>
      </c>
      <c r="H67" s="19" t="s">
        <v>174</v>
      </c>
      <c r="I67" s="19" t="s">
        <v>175</v>
      </c>
      <c r="J67" s="20" t="s">
        <v>276</v>
      </c>
      <c r="K67" s="25" t="s">
        <v>179</v>
      </c>
      <c r="L67" s="25"/>
      <c r="M67" s="21" t="s">
        <v>182</v>
      </c>
    </row>
    <row r="68" ht="30.0" customHeight="1">
      <c r="A68" s="19" t="s">
        <v>570</v>
      </c>
      <c r="B68" s="19">
        <v>4.0</v>
      </c>
      <c r="C68" s="19">
        <f t="shared" si="1"/>
        <v>12</v>
      </c>
      <c r="D68" s="20" t="s">
        <v>278</v>
      </c>
      <c r="E68" s="20" t="s">
        <v>572</v>
      </c>
      <c r="F68" s="20" t="s">
        <v>316</v>
      </c>
      <c r="G68" s="22">
        <f>'Parámetros'!$C$10</f>
        <v>90</v>
      </c>
      <c r="H68" s="19" t="s">
        <v>174</v>
      </c>
      <c r="I68" s="19" t="s">
        <v>175</v>
      </c>
      <c r="J68" s="20" t="s">
        <v>276</v>
      </c>
      <c r="K68" s="25" t="s">
        <v>179</v>
      </c>
      <c r="L68" s="25"/>
      <c r="M68" s="21" t="s">
        <v>182</v>
      </c>
    </row>
    <row r="69" ht="30.0" customHeight="1">
      <c r="A69" s="19" t="s">
        <v>576</v>
      </c>
      <c r="B69" s="19">
        <v>4.0</v>
      </c>
      <c r="C69" s="19">
        <f t="shared" si="1"/>
        <v>13</v>
      </c>
      <c r="D69" s="20" t="s">
        <v>278</v>
      </c>
      <c r="E69" s="20" t="s">
        <v>578</v>
      </c>
      <c r="F69" s="20" t="s">
        <v>279</v>
      </c>
      <c r="G69" s="22">
        <f>'Parámetros'!$C$10</f>
        <v>90</v>
      </c>
      <c r="H69" s="19" t="s">
        <v>174</v>
      </c>
      <c r="I69" s="19" t="s">
        <v>175</v>
      </c>
      <c r="J69" s="20" t="s">
        <v>276</v>
      </c>
      <c r="K69" s="25" t="s">
        <v>179</v>
      </c>
      <c r="L69" s="25"/>
      <c r="M69" s="21" t="s">
        <v>182</v>
      </c>
    </row>
    <row r="70" ht="30.0" customHeight="1">
      <c r="A70" s="19" t="s">
        <v>582</v>
      </c>
      <c r="B70" s="19">
        <v>4.0</v>
      </c>
      <c r="C70" s="19">
        <f t="shared" si="1"/>
        <v>14</v>
      </c>
      <c r="D70" s="20" t="s">
        <v>292</v>
      </c>
      <c r="E70" s="20" t="s">
        <v>584</v>
      </c>
      <c r="F70" s="20" t="s">
        <v>585</v>
      </c>
      <c r="G70" s="22">
        <f>'Parámetros'!$C$7</f>
        <v>30</v>
      </c>
      <c r="H70" s="19" t="s">
        <v>174</v>
      </c>
      <c r="I70" s="19" t="s">
        <v>174</v>
      </c>
      <c r="J70" s="20" t="s">
        <v>299</v>
      </c>
      <c r="K70" s="25" t="s">
        <v>179</v>
      </c>
      <c r="L70" s="25"/>
      <c r="M70" s="21" t="s">
        <v>182</v>
      </c>
    </row>
    <row r="71" ht="30.0" customHeight="1">
      <c r="A71" s="19" t="s">
        <v>591</v>
      </c>
      <c r="B71" s="19">
        <v>4.0</v>
      </c>
      <c r="C71" s="19">
        <f t="shared" si="1"/>
        <v>15</v>
      </c>
      <c r="D71" s="20" t="s">
        <v>191</v>
      </c>
      <c r="E71" s="20" t="s">
        <v>595</v>
      </c>
      <c r="F71" s="20" t="s">
        <v>173</v>
      </c>
      <c r="G71" s="22">
        <f>'Parámetros'!$C$9</f>
        <v>3</v>
      </c>
      <c r="H71" s="19" t="s">
        <v>174</v>
      </c>
      <c r="I71" s="19" t="s">
        <v>175</v>
      </c>
      <c r="J71" s="20" t="s">
        <v>197</v>
      </c>
      <c r="K71" s="25" t="s">
        <v>179</v>
      </c>
      <c r="L71" s="25"/>
      <c r="M71" s="21" t="s">
        <v>182</v>
      </c>
    </row>
    <row r="72" ht="30.0" customHeight="1">
      <c r="A72" s="19" t="s">
        <v>601</v>
      </c>
      <c r="B72" s="19">
        <v>4.0</v>
      </c>
      <c r="C72" s="19">
        <f t="shared" si="1"/>
        <v>16</v>
      </c>
      <c r="D72" s="20" t="s">
        <v>304</v>
      </c>
      <c r="E72" s="20" t="s">
        <v>604</v>
      </c>
      <c r="F72" s="20" t="s">
        <v>173</v>
      </c>
      <c r="G72" s="29">
        <v>1.5</v>
      </c>
      <c r="H72" s="19" t="s">
        <v>174</v>
      </c>
      <c r="I72" s="19" t="s">
        <v>175</v>
      </c>
      <c r="J72" s="20" t="s">
        <v>310</v>
      </c>
      <c r="K72" s="25" t="s">
        <v>179</v>
      </c>
      <c r="L72" s="25"/>
      <c r="M72" s="21" t="s">
        <v>182</v>
      </c>
    </row>
    <row r="73" ht="30.0" customHeight="1">
      <c r="A73" s="19" t="s">
        <v>607</v>
      </c>
      <c r="B73" s="19">
        <v>4.0</v>
      </c>
      <c r="C73" s="19">
        <f t="shared" si="1"/>
        <v>17</v>
      </c>
      <c r="D73" s="20" t="s">
        <v>320</v>
      </c>
      <c r="E73" s="20" t="s">
        <v>611</v>
      </c>
      <c r="F73" s="20" t="s">
        <v>173</v>
      </c>
      <c r="G73" s="22">
        <v>0.0</v>
      </c>
      <c r="H73" s="19" t="s">
        <v>175</v>
      </c>
      <c r="I73" s="19" t="s">
        <v>175</v>
      </c>
      <c r="J73" s="20" t="s">
        <v>322</v>
      </c>
      <c r="K73" s="25" t="s">
        <v>179</v>
      </c>
      <c r="L73" s="25"/>
      <c r="M73" s="21" t="s">
        <v>182</v>
      </c>
    </row>
    <row r="74" ht="30.0" customHeight="1">
      <c r="A74" s="19" t="s">
        <v>614</v>
      </c>
      <c r="B74" s="19">
        <v>4.0</v>
      </c>
      <c r="C74" s="19">
        <f t="shared" si="1"/>
        <v>18</v>
      </c>
      <c r="D74" s="20" t="s">
        <v>325</v>
      </c>
      <c r="E74" s="20" t="s">
        <v>616</v>
      </c>
      <c r="F74" s="20" t="s">
        <v>585</v>
      </c>
      <c r="G74" s="29">
        <v>60.0</v>
      </c>
      <c r="H74" s="19" t="s">
        <v>174</v>
      </c>
      <c r="I74" s="19" t="s">
        <v>175</v>
      </c>
      <c r="J74" s="20" t="s">
        <v>331</v>
      </c>
      <c r="K74" s="25" t="s">
        <v>179</v>
      </c>
      <c r="L74" s="25"/>
      <c r="M74" s="21" t="s">
        <v>182</v>
      </c>
    </row>
    <row r="75" ht="30.0" customHeight="1">
      <c r="A75" s="12" t="s">
        <v>618</v>
      </c>
      <c r="B75" s="12">
        <v>5.0</v>
      </c>
      <c r="C75" s="12">
        <f t="shared" si="1"/>
        <v>1</v>
      </c>
      <c r="D75" s="13" t="s">
        <v>191</v>
      </c>
      <c r="E75" s="13" t="s">
        <v>621</v>
      </c>
      <c r="F75" s="13" t="s">
        <v>173</v>
      </c>
      <c r="G75" s="15">
        <f>'Parámetros'!$C$8</f>
        <v>3</v>
      </c>
      <c r="H75" s="12" t="s">
        <v>174</v>
      </c>
      <c r="I75" s="12" t="s">
        <v>175</v>
      </c>
      <c r="J75" s="13" t="s">
        <v>197</v>
      </c>
      <c r="K75" s="23" t="s">
        <v>179</v>
      </c>
      <c r="L75" s="23"/>
      <c r="M75" s="14" t="s">
        <v>182</v>
      </c>
    </row>
    <row r="76" ht="30.0" customHeight="1">
      <c r="A76" s="12" t="s">
        <v>622</v>
      </c>
      <c r="B76" s="12">
        <v>5.0</v>
      </c>
      <c r="C76" s="12">
        <f t="shared" si="1"/>
        <v>2</v>
      </c>
      <c r="D76" s="13" t="s">
        <v>200</v>
      </c>
      <c r="E76" s="13" t="s">
        <v>455</v>
      </c>
      <c r="F76" s="13" t="s">
        <v>340</v>
      </c>
      <c r="G76" s="15">
        <f>Estructura!N21</f>
        <v>112.5</v>
      </c>
      <c r="H76" s="12" t="s">
        <v>174</v>
      </c>
      <c r="I76" s="12" t="s">
        <v>175</v>
      </c>
      <c r="J76" s="13" t="s">
        <v>202</v>
      </c>
      <c r="K76" s="23" t="s">
        <v>179</v>
      </c>
      <c r="L76" s="23"/>
      <c r="M76" s="14" t="s">
        <v>182</v>
      </c>
    </row>
    <row r="77" ht="30.0" customHeight="1">
      <c r="A77" s="12" t="s">
        <v>627</v>
      </c>
      <c r="B77" s="12">
        <v>5.0</v>
      </c>
      <c r="C77" s="12">
        <f t="shared" si="1"/>
        <v>3</v>
      </c>
      <c r="D77" s="13" t="s">
        <v>206</v>
      </c>
      <c r="E77" s="13" t="s">
        <v>630</v>
      </c>
      <c r="F77" s="13" t="s">
        <v>340</v>
      </c>
      <c r="G77" s="15">
        <f>'Parámetros'!$C$6</f>
        <v>15</v>
      </c>
      <c r="H77" s="12" t="s">
        <v>174</v>
      </c>
      <c r="I77" s="12" t="s">
        <v>175</v>
      </c>
      <c r="J77" s="13" t="s">
        <v>216</v>
      </c>
      <c r="K77" s="23" t="s">
        <v>179</v>
      </c>
      <c r="L77" s="23"/>
      <c r="M77" s="14" t="s">
        <v>182</v>
      </c>
    </row>
    <row r="78" ht="30.0" customHeight="1">
      <c r="A78" s="12" t="s">
        <v>635</v>
      </c>
      <c r="B78" s="12">
        <v>5.0</v>
      </c>
      <c r="C78" s="12">
        <f t="shared" si="1"/>
        <v>4</v>
      </c>
      <c r="D78" s="13" t="s">
        <v>200</v>
      </c>
      <c r="E78" s="13" t="s">
        <v>467</v>
      </c>
      <c r="F78" s="13" t="s">
        <v>355</v>
      </c>
      <c r="G78" s="15">
        <f>Estructura!N22</f>
        <v>105</v>
      </c>
      <c r="H78" s="12" t="s">
        <v>174</v>
      </c>
      <c r="I78" s="12" t="s">
        <v>175</v>
      </c>
      <c r="J78" s="13" t="s">
        <v>202</v>
      </c>
      <c r="K78" s="23" t="s">
        <v>179</v>
      </c>
      <c r="L78" s="23"/>
      <c r="M78" s="14" t="s">
        <v>182</v>
      </c>
    </row>
    <row r="79" ht="30.0" customHeight="1">
      <c r="A79" s="12" t="s">
        <v>636</v>
      </c>
      <c r="B79" s="12">
        <v>5.0</v>
      </c>
      <c r="C79" s="12">
        <f t="shared" si="1"/>
        <v>5</v>
      </c>
      <c r="D79" s="13" t="s">
        <v>206</v>
      </c>
      <c r="E79" s="13" t="s">
        <v>637</v>
      </c>
      <c r="F79" s="13" t="s">
        <v>355</v>
      </c>
      <c r="G79" s="15">
        <f>'Parámetros'!$C$6</f>
        <v>15</v>
      </c>
      <c r="H79" s="12" t="s">
        <v>174</v>
      </c>
      <c r="I79" s="12" t="s">
        <v>175</v>
      </c>
      <c r="J79" s="13" t="s">
        <v>216</v>
      </c>
      <c r="K79" s="23" t="s">
        <v>179</v>
      </c>
      <c r="L79" s="23"/>
      <c r="M79" s="14" t="s">
        <v>182</v>
      </c>
    </row>
    <row r="80" ht="30.0" customHeight="1">
      <c r="A80" s="12" t="s">
        <v>638</v>
      </c>
      <c r="B80" s="12">
        <v>5.0</v>
      </c>
      <c r="C80" s="12">
        <f t="shared" si="1"/>
        <v>6</v>
      </c>
      <c r="D80" s="13" t="s">
        <v>200</v>
      </c>
      <c r="E80" s="13" t="s">
        <v>483</v>
      </c>
      <c r="F80" s="13" t="s">
        <v>361</v>
      </c>
      <c r="G80" s="15">
        <f>Estructura!N23</f>
        <v>105</v>
      </c>
      <c r="H80" s="12" t="s">
        <v>174</v>
      </c>
      <c r="I80" s="12" t="s">
        <v>175</v>
      </c>
      <c r="J80" s="13" t="s">
        <v>202</v>
      </c>
      <c r="K80" s="23" t="s">
        <v>179</v>
      </c>
      <c r="L80" s="23"/>
      <c r="M80" s="14" t="s">
        <v>182</v>
      </c>
    </row>
    <row r="81" ht="30.0" customHeight="1">
      <c r="A81" s="12" t="s">
        <v>639</v>
      </c>
      <c r="B81" s="12">
        <v>5.0</v>
      </c>
      <c r="C81" s="12">
        <f t="shared" si="1"/>
        <v>7</v>
      </c>
      <c r="D81" s="13" t="s">
        <v>206</v>
      </c>
      <c r="E81" s="13" t="s">
        <v>640</v>
      </c>
      <c r="F81" s="13" t="s">
        <v>361</v>
      </c>
      <c r="G81" s="15">
        <f>'Parámetros'!$C$6</f>
        <v>15</v>
      </c>
      <c r="H81" s="12" t="s">
        <v>174</v>
      </c>
      <c r="I81" s="12" t="s">
        <v>175</v>
      </c>
      <c r="J81" s="13" t="s">
        <v>216</v>
      </c>
      <c r="K81" s="23" t="s">
        <v>179</v>
      </c>
      <c r="L81" s="23"/>
      <c r="M81" s="14" t="s">
        <v>182</v>
      </c>
    </row>
    <row r="82" ht="30.0" customHeight="1">
      <c r="A82" s="12" t="s">
        <v>642</v>
      </c>
      <c r="B82" s="12">
        <v>5.0</v>
      </c>
      <c r="C82" s="12">
        <f t="shared" si="1"/>
        <v>8</v>
      </c>
      <c r="D82" s="13" t="s">
        <v>269</v>
      </c>
      <c r="E82" s="13" t="s">
        <v>587</v>
      </c>
      <c r="F82" s="13" t="s">
        <v>588</v>
      </c>
      <c r="G82" s="15">
        <f>'Parámetros'!$C$10</f>
        <v>90</v>
      </c>
      <c r="H82" s="12" t="s">
        <v>174</v>
      </c>
      <c r="I82" s="12" t="s">
        <v>174</v>
      </c>
      <c r="J82" s="13" t="s">
        <v>276</v>
      </c>
      <c r="K82" s="23" t="s">
        <v>179</v>
      </c>
      <c r="L82" s="23"/>
      <c r="M82" s="14" t="s">
        <v>182</v>
      </c>
    </row>
    <row r="83" ht="30.0" customHeight="1">
      <c r="A83" s="12" t="s">
        <v>649</v>
      </c>
      <c r="B83" s="12">
        <v>5.0</v>
      </c>
      <c r="C83" s="12">
        <f t="shared" si="1"/>
        <v>9</v>
      </c>
      <c r="D83" s="13" t="s">
        <v>278</v>
      </c>
      <c r="E83" s="13" t="s">
        <v>592</v>
      </c>
      <c r="F83" s="13" t="s">
        <v>593</v>
      </c>
      <c r="G83" s="15">
        <f>'Parámetros'!$C$10</f>
        <v>90</v>
      </c>
      <c r="H83" s="12" t="s">
        <v>174</v>
      </c>
      <c r="I83" s="12" t="s">
        <v>175</v>
      </c>
      <c r="J83" s="13" t="s">
        <v>276</v>
      </c>
      <c r="K83" s="23" t="s">
        <v>179</v>
      </c>
      <c r="L83" s="23"/>
      <c r="M83" s="14" t="s">
        <v>182</v>
      </c>
    </row>
    <row r="84" ht="30.0" customHeight="1">
      <c r="A84" s="12" t="s">
        <v>655</v>
      </c>
      <c r="B84" s="12">
        <v>5.0</v>
      </c>
      <c r="C84" s="12">
        <f t="shared" si="1"/>
        <v>10</v>
      </c>
      <c r="D84" s="13" t="s">
        <v>278</v>
      </c>
      <c r="E84" s="13" t="s">
        <v>597</v>
      </c>
      <c r="F84" s="13" t="s">
        <v>593</v>
      </c>
      <c r="G84" s="15">
        <f>'Parámetros'!$C$10</f>
        <v>90</v>
      </c>
      <c r="H84" s="12" t="s">
        <v>174</v>
      </c>
      <c r="I84" s="12" t="s">
        <v>175</v>
      </c>
      <c r="J84" s="13" t="s">
        <v>276</v>
      </c>
      <c r="K84" s="23" t="s">
        <v>179</v>
      </c>
      <c r="L84" s="23"/>
      <c r="M84" s="14" t="s">
        <v>182</v>
      </c>
    </row>
    <row r="85" ht="30.0" customHeight="1">
      <c r="A85" s="12" t="s">
        <v>657</v>
      </c>
      <c r="B85" s="12">
        <v>5.0</v>
      </c>
      <c r="C85" s="12">
        <f t="shared" si="1"/>
        <v>11</v>
      </c>
      <c r="D85" s="13" t="s">
        <v>292</v>
      </c>
      <c r="E85" s="13" t="s">
        <v>658</v>
      </c>
      <c r="F85" s="13" t="s">
        <v>659</v>
      </c>
      <c r="G85" s="15">
        <f>'Parámetros'!$C$7</f>
        <v>30</v>
      </c>
      <c r="H85" s="12" t="s">
        <v>174</v>
      </c>
      <c r="I85" s="12" t="s">
        <v>174</v>
      </c>
      <c r="J85" s="13" t="s">
        <v>299</v>
      </c>
      <c r="K85" s="23" t="s">
        <v>179</v>
      </c>
      <c r="L85" s="23"/>
      <c r="M85" s="14" t="s">
        <v>182</v>
      </c>
    </row>
    <row r="86" ht="30.0" customHeight="1">
      <c r="A86" s="12" t="s">
        <v>665</v>
      </c>
      <c r="B86" s="12">
        <v>5.0</v>
      </c>
      <c r="C86" s="12">
        <f t="shared" si="1"/>
        <v>12</v>
      </c>
      <c r="D86" s="13" t="s">
        <v>191</v>
      </c>
      <c r="E86" s="13" t="s">
        <v>668</v>
      </c>
      <c r="F86" s="13" t="s">
        <v>173</v>
      </c>
      <c r="G86" s="15">
        <f>'Parámetros'!$C$9</f>
        <v>3</v>
      </c>
      <c r="H86" s="12" t="s">
        <v>174</v>
      </c>
      <c r="I86" s="12" t="s">
        <v>175</v>
      </c>
      <c r="J86" s="13" t="s">
        <v>197</v>
      </c>
      <c r="K86" s="23" t="s">
        <v>179</v>
      </c>
      <c r="L86" s="23"/>
      <c r="M86" s="14" t="s">
        <v>182</v>
      </c>
    </row>
    <row r="87" ht="30.0" customHeight="1">
      <c r="A87" s="12" t="s">
        <v>675</v>
      </c>
      <c r="B87" s="12">
        <v>5.0</v>
      </c>
      <c r="C87" s="12">
        <f t="shared" si="1"/>
        <v>13</v>
      </c>
      <c r="D87" s="13" t="s">
        <v>304</v>
      </c>
      <c r="E87" s="13" t="s">
        <v>682</v>
      </c>
      <c r="F87" s="13" t="s">
        <v>173</v>
      </c>
      <c r="G87" s="24">
        <v>1.5</v>
      </c>
      <c r="H87" s="12" t="s">
        <v>174</v>
      </c>
      <c r="I87" s="12" t="s">
        <v>175</v>
      </c>
      <c r="J87" s="13" t="s">
        <v>310</v>
      </c>
      <c r="K87" s="23" t="s">
        <v>179</v>
      </c>
      <c r="L87" s="23"/>
      <c r="M87" s="14" t="s">
        <v>182</v>
      </c>
    </row>
    <row r="88" ht="30.0" customHeight="1">
      <c r="A88" s="12" t="s">
        <v>685</v>
      </c>
      <c r="B88" s="12">
        <v>5.0</v>
      </c>
      <c r="C88" s="12">
        <f t="shared" si="1"/>
        <v>14</v>
      </c>
      <c r="D88" s="13" t="s">
        <v>320</v>
      </c>
      <c r="E88" s="13" t="s">
        <v>687</v>
      </c>
      <c r="F88" s="13" t="s">
        <v>173</v>
      </c>
      <c r="G88" s="15">
        <v>0.0</v>
      </c>
      <c r="H88" s="12" t="s">
        <v>175</v>
      </c>
      <c r="I88" s="12" t="s">
        <v>175</v>
      </c>
      <c r="J88" s="13" t="s">
        <v>322</v>
      </c>
      <c r="K88" s="23" t="s">
        <v>179</v>
      </c>
      <c r="L88" s="23"/>
      <c r="M88" s="14" t="s">
        <v>182</v>
      </c>
    </row>
    <row r="89" ht="30.0" customHeight="1">
      <c r="A89" s="12" t="s">
        <v>689</v>
      </c>
      <c r="B89" s="12">
        <v>5.0</v>
      </c>
      <c r="C89" s="12">
        <f t="shared" si="1"/>
        <v>15</v>
      </c>
      <c r="D89" s="13" t="s">
        <v>325</v>
      </c>
      <c r="E89" s="13" t="s">
        <v>690</v>
      </c>
      <c r="F89" s="13" t="s">
        <v>659</v>
      </c>
      <c r="G89" s="24">
        <v>45.0</v>
      </c>
      <c r="H89" s="12" t="s">
        <v>174</v>
      </c>
      <c r="I89" s="12" t="s">
        <v>175</v>
      </c>
      <c r="J89" s="13" t="s">
        <v>331</v>
      </c>
      <c r="K89" s="23" t="s">
        <v>179</v>
      </c>
      <c r="L89" s="23"/>
      <c r="M89" s="14" t="s">
        <v>182</v>
      </c>
    </row>
    <row r="90" ht="30.0" customHeight="1">
      <c r="A90" s="19" t="s">
        <v>691</v>
      </c>
      <c r="B90" s="19">
        <v>6.0</v>
      </c>
      <c r="C90" s="19">
        <f t="shared" si="1"/>
        <v>1</v>
      </c>
      <c r="D90" s="20" t="s">
        <v>191</v>
      </c>
      <c r="E90" s="20" t="s">
        <v>692</v>
      </c>
      <c r="F90" s="20" t="s">
        <v>173</v>
      </c>
      <c r="G90" s="22">
        <f>'Parámetros'!$C$8</f>
        <v>3</v>
      </c>
      <c r="H90" s="19" t="s">
        <v>174</v>
      </c>
      <c r="I90" s="19" t="s">
        <v>175</v>
      </c>
      <c r="J90" s="20" t="s">
        <v>197</v>
      </c>
      <c r="K90" s="25" t="s">
        <v>179</v>
      </c>
      <c r="L90" s="25"/>
      <c r="M90" s="21" t="s">
        <v>182</v>
      </c>
    </row>
    <row r="91" ht="30.0" customHeight="1">
      <c r="A91" s="19" t="s">
        <v>694</v>
      </c>
      <c r="B91" s="19">
        <v>6.0</v>
      </c>
      <c r="C91" s="19">
        <f t="shared" si="1"/>
        <v>2</v>
      </c>
      <c r="D91" s="20" t="s">
        <v>200</v>
      </c>
      <c r="E91" s="20" t="s">
        <v>502</v>
      </c>
      <c r="F91" s="20" t="s">
        <v>370</v>
      </c>
      <c r="G91" s="22">
        <f>Estructura!N24</f>
        <v>75</v>
      </c>
      <c r="H91" s="19" t="s">
        <v>174</v>
      </c>
      <c r="I91" s="19" t="s">
        <v>175</v>
      </c>
      <c r="J91" s="20" t="s">
        <v>202</v>
      </c>
      <c r="K91" s="25" t="s">
        <v>179</v>
      </c>
      <c r="L91" s="25"/>
      <c r="M91" s="21" t="s">
        <v>182</v>
      </c>
    </row>
    <row r="92" ht="30.0" customHeight="1">
      <c r="A92" s="19" t="s">
        <v>699</v>
      </c>
      <c r="B92" s="19">
        <v>6.0</v>
      </c>
      <c r="C92" s="19">
        <f t="shared" si="1"/>
        <v>3</v>
      </c>
      <c r="D92" s="20" t="s">
        <v>206</v>
      </c>
      <c r="E92" s="20" t="s">
        <v>702</v>
      </c>
      <c r="F92" s="20" t="s">
        <v>370</v>
      </c>
      <c r="G92" s="22">
        <f>'Parámetros'!$C$6</f>
        <v>15</v>
      </c>
      <c r="H92" s="19" t="s">
        <v>174</v>
      </c>
      <c r="I92" s="19" t="s">
        <v>175</v>
      </c>
      <c r="J92" s="20" t="s">
        <v>216</v>
      </c>
      <c r="K92" s="25" t="s">
        <v>179</v>
      </c>
      <c r="L92" s="25"/>
      <c r="M92" s="21" t="s">
        <v>182</v>
      </c>
    </row>
    <row r="93" ht="30.0" customHeight="1">
      <c r="A93" s="19" t="s">
        <v>706</v>
      </c>
      <c r="B93" s="19">
        <v>6.0</v>
      </c>
      <c r="C93" s="19">
        <f t="shared" si="1"/>
        <v>4</v>
      </c>
      <c r="D93" s="20" t="s">
        <v>200</v>
      </c>
      <c r="E93" s="20" t="s">
        <v>515</v>
      </c>
      <c r="F93" s="20" t="s">
        <v>386</v>
      </c>
      <c r="G93" s="22">
        <f>Estructura!N25</f>
        <v>75</v>
      </c>
      <c r="H93" s="19" t="s">
        <v>174</v>
      </c>
      <c r="I93" s="19" t="s">
        <v>175</v>
      </c>
      <c r="J93" s="20" t="s">
        <v>202</v>
      </c>
      <c r="K93" s="25" t="s">
        <v>179</v>
      </c>
      <c r="L93" s="25"/>
      <c r="M93" s="21" t="s">
        <v>182</v>
      </c>
    </row>
    <row r="94" ht="30.0" customHeight="1">
      <c r="A94" s="19" t="s">
        <v>716</v>
      </c>
      <c r="B94" s="19">
        <v>6.0</v>
      </c>
      <c r="C94" s="19">
        <f t="shared" si="1"/>
        <v>5</v>
      </c>
      <c r="D94" s="20" t="s">
        <v>206</v>
      </c>
      <c r="E94" s="20" t="s">
        <v>721</v>
      </c>
      <c r="F94" s="20" t="s">
        <v>386</v>
      </c>
      <c r="G94" s="22">
        <f>'Parámetros'!$C$6</f>
        <v>15</v>
      </c>
      <c r="H94" s="19" t="s">
        <v>174</v>
      </c>
      <c r="I94" s="19" t="s">
        <v>175</v>
      </c>
      <c r="J94" s="20" t="s">
        <v>216</v>
      </c>
      <c r="K94" s="25" t="s">
        <v>179</v>
      </c>
      <c r="L94" s="25"/>
      <c r="M94" s="21" t="s">
        <v>182</v>
      </c>
    </row>
    <row r="95" ht="30.0" customHeight="1">
      <c r="A95" s="19" t="s">
        <v>736</v>
      </c>
      <c r="B95" s="19">
        <v>6.0</v>
      </c>
      <c r="C95" s="19">
        <f t="shared" si="1"/>
        <v>6</v>
      </c>
      <c r="D95" s="20" t="s">
        <v>200</v>
      </c>
      <c r="E95" s="20" t="s">
        <v>535</v>
      </c>
      <c r="F95" s="20" t="s">
        <v>394</v>
      </c>
      <c r="G95" s="22">
        <f>Estructura!N26</f>
        <v>67.5</v>
      </c>
      <c r="H95" s="19" t="s">
        <v>174</v>
      </c>
      <c r="I95" s="19" t="s">
        <v>175</v>
      </c>
      <c r="J95" s="20" t="s">
        <v>202</v>
      </c>
      <c r="K95" s="25" t="s">
        <v>179</v>
      </c>
      <c r="L95" s="25"/>
      <c r="M95" s="21" t="s">
        <v>182</v>
      </c>
    </row>
    <row r="96" ht="30.0" customHeight="1">
      <c r="A96" s="19" t="s">
        <v>744</v>
      </c>
      <c r="B96" s="19">
        <v>6.0</v>
      </c>
      <c r="C96" s="19">
        <f t="shared" si="1"/>
        <v>7</v>
      </c>
      <c r="D96" s="20" t="s">
        <v>206</v>
      </c>
      <c r="E96" s="20" t="s">
        <v>746</v>
      </c>
      <c r="F96" s="20" t="s">
        <v>394</v>
      </c>
      <c r="G96" s="22">
        <f>'Parámetros'!$C$6</f>
        <v>15</v>
      </c>
      <c r="H96" s="19" t="s">
        <v>174</v>
      </c>
      <c r="I96" s="19" t="s">
        <v>175</v>
      </c>
      <c r="J96" s="20" t="s">
        <v>216</v>
      </c>
      <c r="K96" s="25" t="s">
        <v>179</v>
      </c>
      <c r="L96" s="25"/>
      <c r="M96" s="21" t="s">
        <v>182</v>
      </c>
    </row>
    <row r="97" ht="30.0" customHeight="1">
      <c r="A97" s="19" t="s">
        <v>752</v>
      </c>
      <c r="B97" s="19">
        <v>6.0</v>
      </c>
      <c r="C97" s="19">
        <f t="shared" si="1"/>
        <v>8</v>
      </c>
      <c r="D97" s="20" t="s">
        <v>269</v>
      </c>
      <c r="E97" s="20" t="s">
        <v>600</v>
      </c>
      <c r="F97" s="20" t="s">
        <v>370</v>
      </c>
      <c r="G97" s="22">
        <f>'Parámetros'!$C$10</f>
        <v>90</v>
      </c>
      <c r="H97" s="19" t="s">
        <v>174</v>
      </c>
      <c r="I97" s="19" t="s">
        <v>174</v>
      </c>
      <c r="J97" s="20" t="s">
        <v>276</v>
      </c>
      <c r="K97" s="25" t="s">
        <v>179</v>
      </c>
      <c r="L97" s="25"/>
      <c r="M97" s="21" t="s">
        <v>182</v>
      </c>
    </row>
    <row r="98" ht="30.0" customHeight="1">
      <c r="A98" s="19" t="s">
        <v>757</v>
      </c>
      <c r="B98" s="19">
        <v>6.0</v>
      </c>
      <c r="C98" s="19">
        <f t="shared" si="1"/>
        <v>9</v>
      </c>
      <c r="D98" s="20" t="s">
        <v>269</v>
      </c>
      <c r="E98" s="20" t="s">
        <v>605</v>
      </c>
      <c r="F98" s="20" t="s">
        <v>386</v>
      </c>
      <c r="G98" s="22">
        <f>'Parámetros'!$C$10</f>
        <v>90</v>
      </c>
      <c r="H98" s="19" t="s">
        <v>174</v>
      </c>
      <c r="I98" s="19" t="s">
        <v>174</v>
      </c>
      <c r="J98" s="20" t="s">
        <v>276</v>
      </c>
      <c r="K98" s="25" t="s">
        <v>179</v>
      </c>
      <c r="L98" s="25"/>
      <c r="M98" s="21" t="s">
        <v>182</v>
      </c>
    </row>
    <row r="99" ht="30.0" customHeight="1">
      <c r="A99" s="19" t="s">
        <v>764</v>
      </c>
      <c r="B99" s="19">
        <v>6.0</v>
      </c>
      <c r="C99" s="19">
        <f t="shared" si="1"/>
        <v>10</v>
      </c>
      <c r="D99" s="20" t="s">
        <v>269</v>
      </c>
      <c r="E99" s="20" t="s">
        <v>609</v>
      </c>
      <c r="F99" s="20" t="s">
        <v>394</v>
      </c>
      <c r="G99" s="22">
        <f>'Parámetros'!$C$10</f>
        <v>90</v>
      </c>
      <c r="H99" s="19" t="s">
        <v>174</v>
      </c>
      <c r="I99" s="19" t="s">
        <v>174</v>
      </c>
      <c r="J99" s="20" t="s">
        <v>276</v>
      </c>
      <c r="K99" s="25" t="s">
        <v>179</v>
      </c>
      <c r="L99" s="25"/>
      <c r="M99" s="21" t="s">
        <v>182</v>
      </c>
    </row>
    <row r="100" ht="30.0" customHeight="1">
      <c r="A100" s="19" t="s">
        <v>765</v>
      </c>
      <c r="B100" s="19">
        <v>6.0</v>
      </c>
      <c r="C100" s="19">
        <f t="shared" si="1"/>
        <v>11</v>
      </c>
      <c r="D100" s="20" t="s">
        <v>269</v>
      </c>
      <c r="E100" s="20" t="s">
        <v>613</v>
      </c>
      <c r="F100" s="20" t="s">
        <v>394</v>
      </c>
      <c r="G100" s="22">
        <f>'Parámetros'!$C$10</f>
        <v>90</v>
      </c>
      <c r="H100" s="19" t="s">
        <v>174</v>
      </c>
      <c r="I100" s="19" t="s">
        <v>174</v>
      </c>
      <c r="J100" s="20" t="s">
        <v>276</v>
      </c>
      <c r="K100" s="25" t="s">
        <v>179</v>
      </c>
      <c r="L100" s="25"/>
      <c r="M100" s="21" t="s">
        <v>182</v>
      </c>
    </row>
    <row r="101" ht="30.0" customHeight="1">
      <c r="A101" s="19" t="s">
        <v>774</v>
      </c>
      <c r="B101" s="19">
        <v>6.0</v>
      </c>
      <c r="C101" s="19">
        <f t="shared" si="1"/>
        <v>12</v>
      </c>
      <c r="D101" s="20" t="s">
        <v>292</v>
      </c>
      <c r="E101" s="20" t="s">
        <v>777</v>
      </c>
      <c r="F101" s="20" t="s">
        <v>778</v>
      </c>
      <c r="G101" s="22">
        <f>'Parámetros'!$C$7</f>
        <v>30</v>
      </c>
      <c r="H101" s="19" t="s">
        <v>174</v>
      </c>
      <c r="I101" s="19" t="s">
        <v>174</v>
      </c>
      <c r="J101" s="20" t="s">
        <v>299</v>
      </c>
      <c r="K101" s="25" t="s">
        <v>179</v>
      </c>
      <c r="L101" s="25"/>
      <c r="M101" s="21" t="s">
        <v>182</v>
      </c>
    </row>
    <row r="102" ht="30.0" customHeight="1">
      <c r="A102" s="19" t="s">
        <v>780</v>
      </c>
      <c r="B102" s="19">
        <v>6.0</v>
      </c>
      <c r="C102" s="19">
        <f t="shared" si="1"/>
        <v>13</v>
      </c>
      <c r="D102" s="20" t="s">
        <v>191</v>
      </c>
      <c r="E102" s="20" t="s">
        <v>781</v>
      </c>
      <c r="F102" s="20" t="s">
        <v>173</v>
      </c>
      <c r="G102" s="22">
        <f>'Parámetros'!$C$9</f>
        <v>3</v>
      </c>
      <c r="H102" s="19" t="s">
        <v>174</v>
      </c>
      <c r="I102" s="19" t="s">
        <v>175</v>
      </c>
      <c r="J102" s="20" t="s">
        <v>197</v>
      </c>
      <c r="K102" s="25" t="s">
        <v>179</v>
      </c>
      <c r="L102" s="25"/>
      <c r="M102" s="21" t="s">
        <v>182</v>
      </c>
    </row>
    <row r="103" ht="30.0" customHeight="1">
      <c r="A103" s="19" t="s">
        <v>788</v>
      </c>
      <c r="B103" s="19">
        <v>6.0</v>
      </c>
      <c r="C103" s="19">
        <f t="shared" si="1"/>
        <v>14</v>
      </c>
      <c r="D103" s="20" t="s">
        <v>304</v>
      </c>
      <c r="E103" s="20" t="s">
        <v>791</v>
      </c>
      <c r="F103" s="20" t="s">
        <v>173</v>
      </c>
      <c r="G103" s="29">
        <v>1.5</v>
      </c>
      <c r="H103" s="19" t="s">
        <v>174</v>
      </c>
      <c r="I103" s="19" t="s">
        <v>175</v>
      </c>
      <c r="J103" s="20" t="s">
        <v>310</v>
      </c>
      <c r="K103" s="25" t="s">
        <v>179</v>
      </c>
      <c r="L103" s="25"/>
      <c r="M103" s="21" t="s">
        <v>182</v>
      </c>
    </row>
    <row r="104" ht="30.0" customHeight="1">
      <c r="A104" s="19" t="s">
        <v>795</v>
      </c>
      <c r="B104" s="19">
        <v>6.0</v>
      </c>
      <c r="C104" s="19">
        <f t="shared" si="1"/>
        <v>15</v>
      </c>
      <c r="D104" s="20" t="s">
        <v>320</v>
      </c>
      <c r="E104" s="20" t="s">
        <v>798</v>
      </c>
      <c r="F104" s="20" t="s">
        <v>173</v>
      </c>
      <c r="G104" s="22">
        <v>0.0</v>
      </c>
      <c r="H104" s="19" t="s">
        <v>175</v>
      </c>
      <c r="I104" s="19" t="s">
        <v>175</v>
      </c>
      <c r="J104" s="20" t="s">
        <v>322</v>
      </c>
      <c r="K104" s="25" t="s">
        <v>179</v>
      </c>
      <c r="L104" s="25"/>
      <c r="M104" s="21" t="s">
        <v>182</v>
      </c>
    </row>
    <row r="105" ht="30.0" customHeight="1">
      <c r="A105" s="19" t="s">
        <v>803</v>
      </c>
      <c r="B105" s="19">
        <v>6.0</v>
      </c>
      <c r="C105" s="19">
        <f t="shared" si="1"/>
        <v>16</v>
      </c>
      <c r="D105" s="20" t="s">
        <v>325</v>
      </c>
      <c r="E105" s="20" t="s">
        <v>806</v>
      </c>
      <c r="F105" s="20" t="s">
        <v>778</v>
      </c>
      <c r="G105" s="29">
        <v>60.0</v>
      </c>
      <c r="H105" s="19" t="s">
        <v>174</v>
      </c>
      <c r="I105" s="19" t="s">
        <v>175</v>
      </c>
      <c r="J105" s="20" t="s">
        <v>331</v>
      </c>
      <c r="K105" s="25" t="s">
        <v>179</v>
      </c>
      <c r="L105" s="25"/>
      <c r="M105" s="21" t="s">
        <v>182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M$105"/>
  <dataValidations>
    <dataValidation type="list" allowBlank="1" sqref="M5:M105">
      <formula1>"Pendiente,En guion,En producción,En Rise/Moodle,Revisado,Listo"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2" width="8.0"/>
    <col customWidth="1" min="3" max="3" width="18.0"/>
    <col customWidth="1" min="4" max="4" width="52.0"/>
    <col customWidth="1" min="5" max="5" width="20.0"/>
    <col customWidth="1" min="6" max="6" width="60.0"/>
    <col customWidth="1" min="7" max="7" width="34.0"/>
    <col customWidth="1" min="8" max="8" width="16.0"/>
    <col customWidth="1" min="9" max="9" width="34.0"/>
    <col customWidth="1" min="10" max="10" width="18.0"/>
    <col customWidth="1" min="11" max="26" width="8.71"/>
  </cols>
  <sheetData>
    <row r="1">
      <c r="A1" s="1" t="s">
        <v>518</v>
      </c>
    </row>
    <row r="2">
      <c r="A2" s="2" t="s">
        <v>520</v>
      </c>
    </row>
    <row r="4" ht="31.5" customHeight="1">
      <c r="A4" s="4" t="s">
        <v>146</v>
      </c>
      <c r="B4" s="4" t="s">
        <v>10</v>
      </c>
      <c r="C4" s="4" t="s">
        <v>149</v>
      </c>
      <c r="D4" s="4" t="s">
        <v>522</v>
      </c>
      <c r="E4" s="4" t="s">
        <v>523</v>
      </c>
      <c r="F4" s="4" t="s">
        <v>524</v>
      </c>
      <c r="G4" s="4" t="s">
        <v>525</v>
      </c>
      <c r="H4" s="4" t="s">
        <v>526</v>
      </c>
      <c r="I4" s="4" t="s">
        <v>527</v>
      </c>
      <c r="J4" s="4" t="s">
        <v>528</v>
      </c>
    </row>
    <row r="5" ht="61.5" customHeight="1">
      <c r="A5" s="12" t="s">
        <v>531</v>
      </c>
      <c r="B5" s="12">
        <v>1.0</v>
      </c>
      <c r="C5" s="12" t="s">
        <v>269</v>
      </c>
      <c r="D5" s="13" t="s">
        <v>270</v>
      </c>
      <c r="E5" s="13" t="s">
        <v>271</v>
      </c>
      <c r="F5" s="13" t="s">
        <v>537</v>
      </c>
      <c r="G5" s="23"/>
      <c r="H5" s="14" t="s">
        <v>539</v>
      </c>
      <c r="I5" s="13" t="s">
        <v>541</v>
      </c>
      <c r="J5" s="13" t="s">
        <v>542</v>
      </c>
    </row>
    <row r="6" ht="61.5" customHeight="1">
      <c r="A6" s="12" t="s">
        <v>544</v>
      </c>
      <c r="B6" s="12">
        <v>1.0</v>
      </c>
      <c r="C6" s="12" t="s">
        <v>278</v>
      </c>
      <c r="D6" s="13" t="s">
        <v>280</v>
      </c>
      <c r="E6" s="13" t="s">
        <v>281</v>
      </c>
      <c r="F6" s="13" t="s">
        <v>545</v>
      </c>
      <c r="G6" s="23"/>
      <c r="H6" s="14" t="s">
        <v>546</v>
      </c>
      <c r="I6" s="13" t="s">
        <v>547</v>
      </c>
      <c r="J6" s="13" t="s">
        <v>548</v>
      </c>
    </row>
    <row r="7" ht="61.5" customHeight="1">
      <c r="A7" s="12" t="s">
        <v>549</v>
      </c>
      <c r="B7" s="12">
        <v>1.0</v>
      </c>
      <c r="C7" s="12" t="s">
        <v>278</v>
      </c>
      <c r="D7" s="13" t="s">
        <v>283</v>
      </c>
      <c r="E7" s="13" t="s">
        <v>128</v>
      </c>
      <c r="F7" s="13" t="s">
        <v>551</v>
      </c>
      <c r="G7" s="23"/>
      <c r="H7" s="14" t="s">
        <v>546</v>
      </c>
      <c r="I7" s="13" t="s">
        <v>547</v>
      </c>
      <c r="J7" s="13" t="s">
        <v>548</v>
      </c>
    </row>
    <row r="8" ht="61.5" customHeight="1">
      <c r="A8" s="19" t="s">
        <v>552</v>
      </c>
      <c r="B8" s="19">
        <v>2.0</v>
      </c>
      <c r="C8" s="19" t="s">
        <v>269</v>
      </c>
      <c r="D8" s="20" t="s">
        <v>393</v>
      </c>
      <c r="E8" s="20" t="s">
        <v>395</v>
      </c>
      <c r="F8" s="20" t="s">
        <v>553</v>
      </c>
      <c r="G8" s="25"/>
      <c r="H8" s="21" t="s">
        <v>539</v>
      </c>
      <c r="I8" s="20" t="s">
        <v>541</v>
      </c>
      <c r="J8" s="20" t="s">
        <v>542</v>
      </c>
    </row>
    <row r="9" ht="61.5" customHeight="1">
      <c r="A9" s="19" t="s">
        <v>556</v>
      </c>
      <c r="B9" s="19">
        <v>2.0</v>
      </c>
      <c r="C9" s="19" t="s">
        <v>278</v>
      </c>
      <c r="D9" s="20" t="s">
        <v>405</v>
      </c>
      <c r="E9" s="20" t="s">
        <v>406</v>
      </c>
      <c r="F9" s="20" t="s">
        <v>557</v>
      </c>
      <c r="G9" s="25"/>
      <c r="H9" s="21" t="s">
        <v>546</v>
      </c>
      <c r="I9" s="20" t="s">
        <v>547</v>
      </c>
      <c r="J9" s="20" t="s">
        <v>548</v>
      </c>
    </row>
    <row r="10" ht="61.5" customHeight="1">
      <c r="A10" s="19" t="s">
        <v>559</v>
      </c>
      <c r="B10" s="19">
        <v>2.0</v>
      </c>
      <c r="C10" s="19" t="s">
        <v>278</v>
      </c>
      <c r="D10" s="20" t="s">
        <v>410</v>
      </c>
      <c r="E10" s="20" t="s">
        <v>411</v>
      </c>
      <c r="F10" s="20" t="s">
        <v>560</v>
      </c>
      <c r="G10" s="25"/>
      <c r="H10" s="21" t="s">
        <v>546</v>
      </c>
      <c r="I10" s="20" t="s">
        <v>547</v>
      </c>
      <c r="J10" s="20" t="s">
        <v>548</v>
      </c>
    </row>
    <row r="11" ht="61.5" customHeight="1">
      <c r="A11" s="12" t="s">
        <v>563</v>
      </c>
      <c r="B11" s="12">
        <v>3.0</v>
      </c>
      <c r="C11" s="12" t="s">
        <v>269</v>
      </c>
      <c r="D11" s="13" t="s">
        <v>471</v>
      </c>
      <c r="E11" s="13" t="s">
        <v>472</v>
      </c>
      <c r="F11" s="13" t="s">
        <v>565</v>
      </c>
      <c r="G11" s="23"/>
      <c r="H11" s="14" t="s">
        <v>539</v>
      </c>
      <c r="I11" s="13" t="s">
        <v>541</v>
      </c>
      <c r="J11" s="13" t="s">
        <v>542</v>
      </c>
    </row>
    <row r="12" ht="61.5" customHeight="1">
      <c r="A12" s="12" t="s">
        <v>567</v>
      </c>
      <c r="B12" s="12">
        <v>3.0</v>
      </c>
      <c r="C12" s="12" t="s">
        <v>278</v>
      </c>
      <c r="D12" s="13" t="s">
        <v>474</v>
      </c>
      <c r="E12" s="13" t="s">
        <v>475</v>
      </c>
      <c r="F12" s="13" t="s">
        <v>568</v>
      </c>
      <c r="G12" s="23"/>
      <c r="H12" s="14" t="s">
        <v>546</v>
      </c>
      <c r="I12" s="13" t="s">
        <v>547</v>
      </c>
      <c r="J12" s="13" t="s">
        <v>548</v>
      </c>
    </row>
    <row r="13" ht="61.5" customHeight="1">
      <c r="A13" s="12" t="s">
        <v>569</v>
      </c>
      <c r="B13" s="12">
        <v>3.0</v>
      </c>
      <c r="C13" s="12" t="s">
        <v>278</v>
      </c>
      <c r="D13" s="13" t="s">
        <v>479</v>
      </c>
      <c r="E13" s="13" t="s">
        <v>267</v>
      </c>
      <c r="F13" s="13" t="s">
        <v>571</v>
      </c>
      <c r="G13" s="23"/>
      <c r="H13" s="14" t="s">
        <v>546</v>
      </c>
      <c r="I13" s="13" t="s">
        <v>547</v>
      </c>
      <c r="J13" s="13" t="s">
        <v>548</v>
      </c>
    </row>
    <row r="14" ht="61.5" customHeight="1">
      <c r="A14" s="19" t="s">
        <v>573</v>
      </c>
      <c r="B14" s="19">
        <v>4.0</v>
      </c>
      <c r="C14" s="19" t="s">
        <v>269</v>
      </c>
      <c r="D14" s="20" t="s">
        <v>561</v>
      </c>
      <c r="E14" s="20" t="s">
        <v>562</v>
      </c>
      <c r="F14" s="20" t="s">
        <v>574</v>
      </c>
      <c r="G14" s="25"/>
      <c r="H14" s="21" t="s">
        <v>539</v>
      </c>
      <c r="I14" s="20" t="s">
        <v>541</v>
      </c>
      <c r="J14" s="20" t="s">
        <v>542</v>
      </c>
    </row>
    <row r="15" ht="61.5" customHeight="1">
      <c r="A15" s="19" t="s">
        <v>575</v>
      </c>
      <c r="B15" s="19">
        <v>4.0</v>
      </c>
      <c r="C15" s="19" t="s">
        <v>278</v>
      </c>
      <c r="D15" s="20" t="s">
        <v>566</v>
      </c>
      <c r="E15" s="20" t="s">
        <v>562</v>
      </c>
      <c r="F15" s="20" t="s">
        <v>577</v>
      </c>
      <c r="G15" s="25"/>
      <c r="H15" s="21" t="s">
        <v>546</v>
      </c>
      <c r="I15" s="20" t="s">
        <v>547</v>
      </c>
      <c r="J15" s="20" t="s">
        <v>548</v>
      </c>
    </row>
    <row r="16" ht="61.5" customHeight="1">
      <c r="A16" s="19" t="s">
        <v>579</v>
      </c>
      <c r="B16" s="19">
        <v>4.0</v>
      </c>
      <c r="C16" s="19" t="s">
        <v>278</v>
      </c>
      <c r="D16" s="20" t="s">
        <v>572</v>
      </c>
      <c r="E16" s="20" t="s">
        <v>316</v>
      </c>
      <c r="F16" s="20" t="s">
        <v>580</v>
      </c>
      <c r="G16" s="25"/>
      <c r="H16" s="21" t="s">
        <v>546</v>
      </c>
      <c r="I16" s="20" t="s">
        <v>547</v>
      </c>
      <c r="J16" s="20" t="s">
        <v>548</v>
      </c>
    </row>
    <row r="17" ht="61.5" customHeight="1">
      <c r="A17" s="19" t="s">
        <v>581</v>
      </c>
      <c r="B17" s="19">
        <v>4.0</v>
      </c>
      <c r="C17" s="19" t="s">
        <v>278</v>
      </c>
      <c r="D17" s="20" t="s">
        <v>578</v>
      </c>
      <c r="E17" s="20" t="s">
        <v>279</v>
      </c>
      <c r="F17" s="20" t="s">
        <v>583</v>
      </c>
      <c r="G17" s="25"/>
      <c r="H17" s="21" t="s">
        <v>546</v>
      </c>
      <c r="I17" s="20" t="s">
        <v>547</v>
      </c>
      <c r="J17" s="20" t="s">
        <v>548</v>
      </c>
    </row>
    <row r="18" ht="61.5" customHeight="1">
      <c r="A18" s="12" t="s">
        <v>586</v>
      </c>
      <c r="B18" s="12">
        <v>5.0</v>
      </c>
      <c r="C18" s="12" t="s">
        <v>269</v>
      </c>
      <c r="D18" s="13" t="s">
        <v>587</v>
      </c>
      <c r="E18" s="13" t="s">
        <v>588</v>
      </c>
      <c r="F18" s="13" t="s">
        <v>589</v>
      </c>
      <c r="G18" s="23"/>
      <c r="H18" s="14" t="s">
        <v>539</v>
      </c>
      <c r="I18" s="13" t="s">
        <v>541</v>
      </c>
      <c r="J18" s="13" t="s">
        <v>542</v>
      </c>
    </row>
    <row r="19" ht="61.5" customHeight="1">
      <c r="A19" s="12" t="s">
        <v>590</v>
      </c>
      <c r="B19" s="12">
        <v>5.0</v>
      </c>
      <c r="C19" s="12" t="s">
        <v>278</v>
      </c>
      <c r="D19" s="13" t="s">
        <v>592</v>
      </c>
      <c r="E19" s="13" t="s">
        <v>593</v>
      </c>
      <c r="F19" s="13" t="s">
        <v>594</v>
      </c>
      <c r="G19" s="23"/>
      <c r="H19" s="14" t="s">
        <v>546</v>
      </c>
      <c r="I19" s="13" t="s">
        <v>547</v>
      </c>
      <c r="J19" s="13" t="s">
        <v>548</v>
      </c>
    </row>
    <row r="20" ht="61.5" customHeight="1">
      <c r="A20" s="12" t="s">
        <v>596</v>
      </c>
      <c r="B20" s="12">
        <v>5.0</v>
      </c>
      <c r="C20" s="12" t="s">
        <v>278</v>
      </c>
      <c r="D20" s="13" t="s">
        <v>597</v>
      </c>
      <c r="E20" s="13" t="s">
        <v>593</v>
      </c>
      <c r="F20" s="13" t="s">
        <v>598</v>
      </c>
      <c r="G20" s="23"/>
      <c r="H20" s="14" t="s">
        <v>546</v>
      </c>
      <c r="I20" s="13" t="s">
        <v>547</v>
      </c>
      <c r="J20" s="13" t="s">
        <v>548</v>
      </c>
    </row>
    <row r="21" ht="61.5" customHeight="1">
      <c r="A21" s="19" t="s">
        <v>599</v>
      </c>
      <c r="B21" s="19">
        <v>6.0</v>
      </c>
      <c r="C21" s="19" t="s">
        <v>269</v>
      </c>
      <c r="D21" s="20" t="s">
        <v>600</v>
      </c>
      <c r="E21" s="20" t="s">
        <v>370</v>
      </c>
      <c r="F21" s="20" t="s">
        <v>602</v>
      </c>
      <c r="G21" s="25"/>
      <c r="H21" s="21" t="s">
        <v>539</v>
      </c>
      <c r="I21" s="20" t="s">
        <v>541</v>
      </c>
      <c r="J21" s="20" t="s">
        <v>542</v>
      </c>
    </row>
    <row r="22" ht="61.5" customHeight="1">
      <c r="A22" s="19" t="s">
        <v>603</v>
      </c>
      <c r="B22" s="19">
        <v>6.0</v>
      </c>
      <c r="C22" s="19" t="s">
        <v>269</v>
      </c>
      <c r="D22" s="20" t="s">
        <v>605</v>
      </c>
      <c r="E22" s="20" t="s">
        <v>386</v>
      </c>
      <c r="F22" s="20" t="s">
        <v>606</v>
      </c>
      <c r="G22" s="25"/>
      <c r="H22" s="21" t="s">
        <v>539</v>
      </c>
      <c r="I22" s="20" t="s">
        <v>541</v>
      </c>
      <c r="J22" s="20" t="s">
        <v>542</v>
      </c>
    </row>
    <row r="23" ht="61.5" customHeight="1">
      <c r="A23" s="19" t="s">
        <v>608</v>
      </c>
      <c r="B23" s="19">
        <v>6.0</v>
      </c>
      <c r="C23" s="19" t="s">
        <v>269</v>
      </c>
      <c r="D23" s="20" t="s">
        <v>609</v>
      </c>
      <c r="E23" s="20" t="s">
        <v>394</v>
      </c>
      <c r="F23" s="20" t="s">
        <v>610</v>
      </c>
      <c r="G23" s="25"/>
      <c r="H23" s="21" t="s">
        <v>539</v>
      </c>
      <c r="I23" s="20" t="s">
        <v>541</v>
      </c>
      <c r="J23" s="20" t="s">
        <v>542</v>
      </c>
    </row>
    <row r="24" ht="61.5" customHeight="1">
      <c r="A24" s="19" t="s">
        <v>612</v>
      </c>
      <c r="B24" s="19">
        <v>6.0</v>
      </c>
      <c r="C24" s="19" t="s">
        <v>269</v>
      </c>
      <c r="D24" s="20" t="s">
        <v>613</v>
      </c>
      <c r="E24" s="20" t="s">
        <v>394</v>
      </c>
      <c r="F24" s="20" t="s">
        <v>615</v>
      </c>
      <c r="G24" s="25"/>
      <c r="H24" s="21" t="s">
        <v>539</v>
      </c>
      <c r="I24" s="20" t="s">
        <v>541</v>
      </c>
      <c r="J24" s="20" t="s">
        <v>542</v>
      </c>
    </row>
    <row r="25" ht="15.75" customHeight="1"/>
    <row r="26" ht="15.75" customHeight="1">
      <c r="A26" s="31" t="s">
        <v>617</v>
      </c>
    </row>
    <row r="27" ht="15.0" customHeight="1">
      <c r="A27" s="11" t="s">
        <v>619</v>
      </c>
      <c r="B27" s="40" t="s">
        <v>620</v>
      </c>
      <c r="C27" s="41"/>
      <c r="D27" s="41"/>
      <c r="E27" s="41"/>
      <c r="F27" s="34"/>
    </row>
    <row r="28" ht="15.0" customHeight="1">
      <c r="A28" s="11" t="s">
        <v>623</v>
      </c>
      <c r="B28" s="40" t="s">
        <v>624</v>
      </c>
      <c r="C28" s="41"/>
      <c r="D28" s="41"/>
      <c r="E28" s="41"/>
      <c r="F28" s="34"/>
    </row>
    <row r="29" ht="15.0" customHeight="1">
      <c r="A29" s="11" t="s">
        <v>625</v>
      </c>
      <c r="B29" s="40" t="s">
        <v>626</v>
      </c>
      <c r="C29" s="41"/>
      <c r="D29" s="41"/>
      <c r="E29" s="41"/>
      <c r="F29" s="34"/>
    </row>
    <row r="30" ht="15.0" customHeight="1">
      <c r="A30" s="11" t="s">
        <v>628</v>
      </c>
      <c r="B30" s="40" t="s">
        <v>629</v>
      </c>
      <c r="C30" s="41"/>
      <c r="D30" s="41"/>
      <c r="E30" s="41"/>
      <c r="F30" s="34"/>
    </row>
    <row r="31" ht="15.0" customHeight="1">
      <c r="A31" s="11" t="s">
        <v>631</v>
      </c>
      <c r="B31" s="40" t="s">
        <v>632</v>
      </c>
      <c r="C31" s="41"/>
      <c r="D31" s="41"/>
      <c r="E31" s="41"/>
      <c r="F31" s="34"/>
    </row>
    <row r="32" ht="15.0" customHeight="1">
      <c r="A32" s="11" t="s">
        <v>633</v>
      </c>
      <c r="B32" s="40" t="s">
        <v>634</v>
      </c>
      <c r="C32" s="41"/>
      <c r="D32" s="41"/>
      <c r="E32" s="41"/>
      <c r="F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7:F27"/>
    <mergeCell ref="B28:F28"/>
    <mergeCell ref="B29:F29"/>
    <mergeCell ref="B30:F30"/>
    <mergeCell ref="B31:F31"/>
    <mergeCell ref="B32:F32"/>
  </mergeCells>
  <dataValidations>
    <dataValidation type="list" allowBlank="1" sqref="H5:H24">
      <formula1>"Por verificar,Fuente localizada,Verificado,Descartado,No aplica"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10.0"/>
    <col customWidth="1" min="3" max="3" width="16.0"/>
    <col customWidth="1" min="4" max="4" width="22.0"/>
    <col customWidth="1" min="5" max="5" width="48.0"/>
    <col customWidth="1" min="6" max="6" width="13.0"/>
    <col customWidth="1" min="7" max="7" width="14.0"/>
    <col customWidth="1" min="8" max="8" width="52.0"/>
    <col customWidth="1" min="9" max="26" width="8.71"/>
  </cols>
  <sheetData>
    <row r="1">
      <c r="A1" s="1" t="s">
        <v>641</v>
      </c>
    </row>
    <row r="2">
      <c r="A2" s="2" t="s">
        <v>643</v>
      </c>
    </row>
    <row r="4" ht="31.5" customHeight="1">
      <c r="A4" s="4" t="s">
        <v>644</v>
      </c>
      <c r="B4" s="4" t="s">
        <v>645</v>
      </c>
      <c r="C4" s="4" t="s">
        <v>149</v>
      </c>
      <c r="D4" s="4" t="s">
        <v>646</v>
      </c>
      <c r="E4" s="4" t="s">
        <v>647</v>
      </c>
      <c r="F4" s="4" t="s">
        <v>648</v>
      </c>
      <c r="G4" s="4" t="s">
        <v>650</v>
      </c>
      <c r="H4" s="4" t="s">
        <v>651</v>
      </c>
    </row>
    <row r="5" ht="33.75" customHeight="1">
      <c r="A5" s="6" t="s">
        <v>652</v>
      </c>
      <c r="B5" s="7">
        <v>1.0</v>
      </c>
      <c r="C5" s="8" t="s">
        <v>653</v>
      </c>
      <c r="D5" s="5" t="s">
        <v>654</v>
      </c>
      <c r="E5" s="5" t="s">
        <v>656</v>
      </c>
      <c r="F5" s="42">
        <v>0.0</v>
      </c>
      <c r="G5" s="36">
        <f t="shared" ref="G5:G11" si="1">B5*F5</f>
        <v>0</v>
      </c>
      <c r="H5" s="5" t="s">
        <v>660</v>
      </c>
    </row>
    <row r="6" ht="33.75" customHeight="1">
      <c r="A6" s="6" t="s">
        <v>661</v>
      </c>
      <c r="B6" s="7">
        <v>22.0</v>
      </c>
      <c r="C6" s="8" t="s">
        <v>662</v>
      </c>
      <c r="D6" s="5" t="s">
        <v>663</v>
      </c>
      <c r="E6" s="5" t="s">
        <v>664</v>
      </c>
      <c r="F6" s="42">
        <v>0.0</v>
      </c>
      <c r="G6" s="36">
        <f t="shared" si="1"/>
        <v>0</v>
      </c>
      <c r="H6" s="5" t="s">
        <v>666</v>
      </c>
    </row>
    <row r="7" ht="33.75" customHeight="1">
      <c r="A7" s="6" t="s">
        <v>667</v>
      </c>
      <c r="B7" s="7">
        <v>5.0</v>
      </c>
      <c r="C7" s="8" t="s">
        <v>669</v>
      </c>
      <c r="D7" s="5" t="s">
        <v>670</v>
      </c>
      <c r="E7" s="5" t="s">
        <v>671</v>
      </c>
      <c r="F7" s="42">
        <v>0.08</v>
      </c>
      <c r="G7" s="36">
        <f t="shared" si="1"/>
        <v>0.4</v>
      </c>
      <c r="H7" s="5" t="s">
        <v>672</v>
      </c>
    </row>
    <row r="8" ht="33.75" customHeight="1">
      <c r="A8" s="6" t="s">
        <v>673</v>
      </c>
      <c r="B8" s="7">
        <v>5.0</v>
      </c>
      <c r="C8" s="8" t="s">
        <v>669</v>
      </c>
      <c r="D8" s="5" t="s">
        <v>670</v>
      </c>
      <c r="E8" s="5" t="s">
        <v>674</v>
      </c>
      <c r="F8" s="42">
        <v>0.03</v>
      </c>
      <c r="G8" s="36">
        <f t="shared" si="1"/>
        <v>0.15</v>
      </c>
      <c r="H8" s="5" t="s">
        <v>676</v>
      </c>
    </row>
    <row r="9" ht="33.75" customHeight="1">
      <c r="A9" s="6" t="s">
        <v>677</v>
      </c>
      <c r="B9" s="7">
        <v>3.0</v>
      </c>
      <c r="C9" s="8" t="s">
        <v>662</v>
      </c>
      <c r="D9" s="5" t="s">
        <v>678</v>
      </c>
      <c r="E9" s="5" t="s">
        <v>674</v>
      </c>
      <c r="F9" s="42">
        <v>0.0</v>
      </c>
      <c r="G9" s="36">
        <f t="shared" si="1"/>
        <v>0</v>
      </c>
      <c r="H9" s="5" t="s">
        <v>679</v>
      </c>
    </row>
    <row r="10" ht="33.75" customHeight="1">
      <c r="A10" s="6" t="s">
        <v>680</v>
      </c>
      <c r="B10" s="7">
        <v>1.0</v>
      </c>
      <c r="C10" s="8" t="s">
        <v>669</v>
      </c>
      <c r="D10" s="5" t="s">
        <v>681</v>
      </c>
      <c r="E10" s="5" t="s">
        <v>674</v>
      </c>
      <c r="F10" s="42">
        <v>0.15</v>
      </c>
      <c r="G10" s="36">
        <f t="shared" si="1"/>
        <v>0.15</v>
      </c>
      <c r="H10" s="5" t="s">
        <v>683</v>
      </c>
    </row>
    <row r="11" ht="33.75" customHeight="1">
      <c r="A11" s="6" t="s">
        <v>684</v>
      </c>
      <c r="B11" s="7">
        <v>1.0</v>
      </c>
      <c r="C11" s="8" t="s">
        <v>669</v>
      </c>
      <c r="D11" s="5" t="s">
        <v>681</v>
      </c>
      <c r="E11" s="5" t="s">
        <v>671</v>
      </c>
      <c r="F11" s="42">
        <v>0.3</v>
      </c>
      <c r="G11" s="36">
        <f t="shared" si="1"/>
        <v>0.3</v>
      </c>
      <c r="H11" s="5" t="s">
        <v>686</v>
      </c>
    </row>
    <row r="12">
      <c r="A12" s="3" t="s">
        <v>688</v>
      </c>
      <c r="G12" s="43">
        <f>SUM(G5:G11)</f>
        <v>1</v>
      </c>
      <c r="H12" s="6" t="str">
        <f>IF(ROUND(G12,4)=1,"OK: suma 100%","Revisar: debe sumar 100%")</f>
        <v>OK: suma 100%</v>
      </c>
    </row>
    <row r="14">
      <c r="A14" s="31" t="s">
        <v>693</v>
      </c>
    </row>
    <row r="15" ht="30.0" customHeight="1">
      <c r="A15" s="6" t="s">
        <v>695</v>
      </c>
      <c r="B15" s="40" t="s">
        <v>696</v>
      </c>
      <c r="C15" s="41"/>
      <c r="D15" s="41"/>
      <c r="E15" s="41"/>
      <c r="F15" s="41"/>
      <c r="G15" s="41"/>
      <c r="H15" s="34"/>
    </row>
    <row r="16" ht="30.0" customHeight="1">
      <c r="A16" s="6" t="s">
        <v>697</v>
      </c>
      <c r="B16" s="40" t="s">
        <v>698</v>
      </c>
      <c r="C16" s="41"/>
      <c r="D16" s="41"/>
      <c r="E16" s="41"/>
      <c r="F16" s="41"/>
      <c r="G16" s="41"/>
      <c r="H16" s="34"/>
    </row>
    <row r="17" ht="30.0" customHeight="1">
      <c r="A17" s="6" t="s">
        <v>700</v>
      </c>
      <c r="B17" s="40" t="s">
        <v>701</v>
      </c>
      <c r="C17" s="41"/>
      <c r="D17" s="41"/>
      <c r="E17" s="41"/>
      <c r="F17" s="41"/>
      <c r="G17" s="41"/>
      <c r="H17" s="34"/>
    </row>
    <row r="18" ht="30.0" customHeight="1">
      <c r="A18" s="6" t="s">
        <v>703</v>
      </c>
      <c r="B18" s="40" t="s">
        <v>704</v>
      </c>
      <c r="C18" s="41"/>
      <c r="D18" s="41"/>
      <c r="E18" s="41"/>
      <c r="F18" s="41"/>
      <c r="G18" s="41"/>
      <c r="H18" s="34"/>
    </row>
    <row r="20">
      <c r="A20" s="31" t="s">
        <v>705</v>
      </c>
    </row>
    <row r="21" ht="15.75" customHeight="1">
      <c r="A21" s="44" t="s">
        <v>707</v>
      </c>
      <c r="B21" s="44" t="s">
        <v>708</v>
      </c>
      <c r="C21" s="44" t="s">
        <v>709</v>
      </c>
      <c r="D21" s="44" t="s">
        <v>710</v>
      </c>
      <c r="E21" s="44" t="s">
        <v>711</v>
      </c>
    </row>
    <row r="22" ht="33.75" customHeight="1">
      <c r="A22" s="6" t="s">
        <v>712</v>
      </c>
      <c r="B22" s="45">
        <v>0.25</v>
      </c>
      <c r="C22" s="5" t="s">
        <v>713</v>
      </c>
      <c r="D22" s="5" t="s">
        <v>714</v>
      </c>
      <c r="E22" s="5" t="s">
        <v>715</v>
      </c>
    </row>
    <row r="23" ht="33.75" customHeight="1">
      <c r="A23" s="6" t="s">
        <v>717</v>
      </c>
      <c r="B23" s="45">
        <v>0.25</v>
      </c>
      <c r="C23" s="5" t="s">
        <v>718</v>
      </c>
      <c r="D23" s="5" t="s">
        <v>719</v>
      </c>
      <c r="E23" s="5" t="s">
        <v>720</v>
      </c>
    </row>
    <row r="24" ht="33.75" customHeight="1">
      <c r="A24" s="6" t="s">
        <v>722</v>
      </c>
      <c r="B24" s="45">
        <v>0.2</v>
      </c>
      <c r="C24" s="5" t="s">
        <v>723</v>
      </c>
      <c r="D24" s="5" t="s">
        <v>724</v>
      </c>
      <c r="E24" s="5" t="s">
        <v>725</v>
      </c>
    </row>
    <row r="25" ht="33.75" customHeight="1">
      <c r="A25" s="6" t="s">
        <v>726</v>
      </c>
      <c r="B25" s="45">
        <v>0.15</v>
      </c>
      <c r="C25" s="5" t="s">
        <v>727</v>
      </c>
      <c r="D25" s="5" t="s">
        <v>728</v>
      </c>
      <c r="E25" s="5" t="s">
        <v>730</v>
      </c>
    </row>
    <row r="26" ht="33.75" customHeight="1">
      <c r="A26" s="6" t="s">
        <v>731</v>
      </c>
      <c r="B26" s="45">
        <v>0.15</v>
      </c>
      <c r="C26" s="5" t="s">
        <v>732</v>
      </c>
      <c r="D26" s="5" t="s">
        <v>733</v>
      </c>
      <c r="E26" s="5" t="s">
        <v>735</v>
      </c>
    </row>
    <row r="27" ht="15.75" customHeight="1">
      <c r="A27" s="3" t="s">
        <v>412</v>
      </c>
      <c r="B27" s="46">
        <f>SUM(B22:B26)</f>
        <v>1</v>
      </c>
      <c r="C27" s="6" t="str">
        <f>IF(ROUND(B27,4)=1,"OK: suma 100%","Revisar")</f>
        <v>OK: suma 100%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5:H15"/>
    <mergeCell ref="B16:H16"/>
    <mergeCell ref="B17:H17"/>
    <mergeCell ref="B18:H1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8.0"/>
    <col customWidth="1" min="4" max="5" width="60.0"/>
    <col customWidth="1" min="6" max="6" width="28.0"/>
    <col customWidth="1" min="7" max="7" width="26.0"/>
    <col customWidth="1" min="8" max="8" width="22.0"/>
    <col customWidth="1" min="9" max="9" width="9.0"/>
    <col customWidth="1" min="10" max="26" width="8.71"/>
  </cols>
  <sheetData>
    <row r="1">
      <c r="A1" s="1" t="s">
        <v>729</v>
      </c>
    </row>
    <row r="2">
      <c r="A2" s="2" t="s">
        <v>734</v>
      </c>
    </row>
    <row r="4" ht="31.5" customHeight="1">
      <c r="A4" s="4" t="s">
        <v>737</v>
      </c>
      <c r="B4" s="4" t="s">
        <v>738</v>
      </c>
      <c r="C4" s="4" t="s">
        <v>739</v>
      </c>
      <c r="D4" s="4" t="s">
        <v>740</v>
      </c>
      <c r="E4" s="4" t="s">
        <v>741</v>
      </c>
      <c r="F4" s="4" t="s">
        <v>742</v>
      </c>
      <c r="G4" s="4" t="s">
        <v>743</v>
      </c>
      <c r="H4" s="4" t="s">
        <v>53</v>
      </c>
      <c r="I4" s="4" t="s">
        <v>745</v>
      </c>
    </row>
    <row r="5" ht="69.75" customHeight="1">
      <c r="A5" s="8">
        <v>1.0</v>
      </c>
      <c r="B5" s="11" t="s">
        <v>747</v>
      </c>
      <c r="C5" s="8" t="s">
        <v>748</v>
      </c>
      <c r="D5" s="5" t="s">
        <v>749</v>
      </c>
      <c r="E5" s="5" t="s">
        <v>750</v>
      </c>
      <c r="F5" s="5" t="s">
        <v>751</v>
      </c>
      <c r="G5" s="5" t="s">
        <v>173</v>
      </c>
      <c r="H5" s="7" t="s">
        <v>753</v>
      </c>
      <c r="I5" s="11" t="s">
        <v>754</v>
      </c>
    </row>
    <row r="6" ht="69.75" customHeight="1">
      <c r="A6" s="8">
        <v>2.0</v>
      </c>
      <c r="B6" s="11" t="s">
        <v>755</v>
      </c>
      <c r="C6" s="8" t="s">
        <v>748</v>
      </c>
      <c r="D6" s="5" t="s">
        <v>756</v>
      </c>
      <c r="E6" s="5" t="s">
        <v>758</v>
      </c>
      <c r="F6" s="5" t="s">
        <v>759</v>
      </c>
      <c r="G6" s="5" t="s">
        <v>173</v>
      </c>
      <c r="H6" s="7" t="s">
        <v>753</v>
      </c>
      <c r="I6" s="11" t="s">
        <v>754</v>
      </c>
    </row>
    <row r="7" ht="69.75" customHeight="1">
      <c r="A7" s="8">
        <v>3.0</v>
      </c>
      <c r="B7" s="11" t="s">
        <v>760</v>
      </c>
      <c r="C7" s="8" t="s">
        <v>748</v>
      </c>
      <c r="D7" s="5" t="s">
        <v>761</v>
      </c>
      <c r="E7" s="5" t="s">
        <v>762</v>
      </c>
      <c r="F7" s="5" t="s">
        <v>763</v>
      </c>
      <c r="G7" s="5" t="str">
        <f>COUNTIFS(Recursos!$D$5:$D$200,"Hito proyecto")+COUNTIFS(Recursos!$D$5:$D$200,"Caso de aplicación")+COUNTIFS(Recursos!$D$5:$D$200,"Foro")&amp;" actividades de aplicación/interacción"</f>
        <v>26 actividades de aplicación/interacción</v>
      </c>
      <c r="H7" s="7" t="s">
        <v>753</v>
      </c>
      <c r="I7" s="11" t="s">
        <v>766</v>
      </c>
    </row>
    <row r="8" ht="69.75" customHeight="1">
      <c r="A8" s="8">
        <v>4.0</v>
      </c>
      <c r="B8" s="11" t="s">
        <v>767</v>
      </c>
      <c r="C8" s="8" t="s">
        <v>748</v>
      </c>
      <c r="D8" s="5" t="s">
        <v>770</v>
      </c>
      <c r="E8" s="5" t="s">
        <v>773</v>
      </c>
      <c r="F8" s="5" t="s">
        <v>759</v>
      </c>
      <c r="G8" s="5" t="s">
        <v>173</v>
      </c>
      <c r="H8" s="7" t="s">
        <v>753</v>
      </c>
      <c r="I8" s="11" t="s">
        <v>754</v>
      </c>
    </row>
    <row r="9" ht="69.75" customHeight="1">
      <c r="A9" s="8">
        <v>5.0</v>
      </c>
      <c r="B9" s="11" t="s">
        <v>782</v>
      </c>
      <c r="C9" s="8" t="s">
        <v>748</v>
      </c>
      <c r="D9" s="5" t="s">
        <v>783</v>
      </c>
      <c r="E9" s="5" t="s">
        <v>784</v>
      </c>
      <c r="F9" s="5" t="s">
        <v>787</v>
      </c>
      <c r="G9" s="5" t="str">
        <f>IF('Parámetros'!$C$12&gt;=8,"≥ 8 h: cumple mínimo","Bajo el mínimo")</f>
        <v>≥ 8 h: cumple mínimo</v>
      </c>
      <c r="H9" s="7" t="s">
        <v>810</v>
      </c>
      <c r="I9" s="11" t="s">
        <v>766</v>
      </c>
    </row>
    <row r="10" ht="69.75" customHeight="1">
      <c r="A10" s="8">
        <v>6.0</v>
      </c>
      <c r="B10" s="11" t="s">
        <v>816</v>
      </c>
      <c r="C10" s="8" t="s">
        <v>748</v>
      </c>
      <c r="D10" s="5" t="s">
        <v>818</v>
      </c>
      <c r="E10" s="5" t="s">
        <v>820</v>
      </c>
      <c r="F10" s="5" t="s">
        <v>822</v>
      </c>
      <c r="G10" s="5" t="str">
        <f>COUNTIFS(Recursos!$I$5:$I$200,"Sí")&amp;" recursos con intervención del facilitador"</f>
        <v>15 recursos con intervención del facilitador</v>
      </c>
      <c r="H10" s="7" t="s">
        <v>810</v>
      </c>
      <c r="I10" s="11" t="s">
        <v>833</v>
      </c>
    </row>
    <row r="11" ht="69.75" customHeight="1">
      <c r="A11" s="8">
        <v>7.0</v>
      </c>
      <c r="B11" s="11" t="s">
        <v>834</v>
      </c>
      <c r="C11" s="8" t="s">
        <v>748</v>
      </c>
      <c r="D11" s="5" t="s">
        <v>835</v>
      </c>
      <c r="E11" s="5" t="s">
        <v>836</v>
      </c>
      <c r="F11" s="5" t="s">
        <v>837</v>
      </c>
      <c r="G11" s="5" t="str">
        <f>COUNTIFS(Recursos!$D$5:$D$200,"Hito proyecto")&amp;" hitos + "&amp;COUNTIFS(Recursos!$D$5:$D$200,"Foro")&amp;" foros"</f>
        <v>9 hitos + 6 foros</v>
      </c>
      <c r="H11" s="7" t="s">
        <v>753</v>
      </c>
      <c r="I11" s="11" t="s">
        <v>833</v>
      </c>
    </row>
    <row r="12" ht="69.75" customHeight="1">
      <c r="A12" s="8">
        <v>8.0</v>
      </c>
      <c r="B12" s="11" t="s">
        <v>838</v>
      </c>
      <c r="C12" s="8" t="s">
        <v>748</v>
      </c>
      <c r="D12" s="5" t="s">
        <v>839</v>
      </c>
      <c r="E12" s="5" t="s">
        <v>840</v>
      </c>
      <c r="F12" s="5" t="s">
        <v>841</v>
      </c>
      <c r="G12" s="5" t="str">
        <f>COUNTIFS(Recursos!$D$5:$D$200,"Evaluación sumativa")&amp;" evaluaciones sumativas"</f>
        <v>6 evaluaciones sumativas</v>
      </c>
      <c r="H12" s="7" t="s">
        <v>753</v>
      </c>
      <c r="I12" s="11" t="s">
        <v>833</v>
      </c>
    </row>
    <row r="13" ht="69.75" customHeight="1">
      <c r="A13" s="8">
        <v>9.0</v>
      </c>
      <c r="B13" s="11" t="s">
        <v>842</v>
      </c>
      <c r="C13" s="8" t="s">
        <v>748</v>
      </c>
      <c r="D13" s="5" t="s">
        <v>843</v>
      </c>
      <c r="E13" s="5" t="s">
        <v>844</v>
      </c>
      <c r="F13" s="5" t="s">
        <v>173</v>
      </c>
      <c r="G13" s="5" t="s">
        <v>173</v>
      </c>
      <c r="H13" s="7" t="s">
        <v>810</v>
      </c>
      <c r="I13" s="11" t="s">
        <v>833</v>
      </c>
    </row>
    <row r="14" ht="69.75" customHeight="1">
      <c r="A14" s="8">
        <v>10.0</v>
      </c>
      <c r="B14" s="11" t="s">
        <v>845</v>
      </c>
      <c r="C14" s="8" t="s">
        <v>846</v>
      </c>
      <c r="D14" s="5" t="s">
        <v>847</v>
      </c>
      <c r="E14" s="5" t="s">
        <v>848</v>
      </c>
      <c r="F14" s="5" t="s">
        <v>849</v>
      </c>
      <c r="G14" s="5" t="s">
        <v>173</v>
      </c>
      <c r="H14" s="7" t="s">
        <v>810</v>
      </c>
      <c r="I14" s="11" t="s">
        <v>766</v>
      </c>
    </row>
    <row r="15" ht="69.75" customHeight="1">
      <c r="A15" s="8">
        <v>11.0</v>
      </c>
      <c r="B15" s="11" t="s">
        <v>850</v>
      </c>
      <c r="C15" s="8" t="s">
        <v>846</v>
      </c>
      <c r="D15" s="5" t="s">
        <v>851</v>
      </c>
      <c r="E15" s="5" t="s">
        <v>852</v>
      </c>
      <c r="F15" s="5" t="s">
        <v>853</v>
      </c>
      <c r="G15" s="5" t="str">
        <f>COUNTIF(Estructura!$T$5:$T$26,"OK")&amp;" de 22 AE con cobertura completa"</f>
        <v>22 de 22 AE con cobertura completa</v>
      </c>
      <c r="H15" s="7" t="s">
        <v>753</v>
      </c>
      <c r="I15" s="11" t="s">
        <v>833</v>
      </c>
    </row>
    <row r="16" ht="69.75" customHeight="1">
      <c r="A16" s="8">
        <v>12.0</v>
      </c>
      <c r="B16" s="11" t="s">
        <v>854</v>
      </c>
      <c r="C16" s="8" t="s">
        <v>846</v>
      </c>
      <c r="D16" s="5" t="s">
        <v>855</v>
      </c>
      <c r="E16" s="5" t="s">
        <v>856</v>
      </c>
      <c r="F16" s="5" t="s">
        <v>857</v>
      </c>
      <c r="G16" s="5" t="str">
        <f>IF(ROUND('Resumen horas'!O11,1)=0,"Desglose = duración total","Diferencia: "&amp;TEXT('Resumen horas'!O11,"0.0")&amp;" min")</f>
        <v>Desglose = duración total</v>
      </c>
      <c r="H16" s="7" t="s">
        <v>753</v>
      </c>
      <c r="I16" s="11" t="s">
        <v>833</v>
      </c>
    </row>
    <row r="17" ht="69.75" customHeight="1">
      <c r="A17" s="8">
        <v>13.0</v>
      </c>
      <c r="B17" s="11" t="s">
        <v>858</v>
      </c>
      <c r="C17" s="8" t="s">
        <v>846</v>
      </c>
      <c r="D17" s="5" t="s">
        <v>859</v>
      </c>
      <c r="E17" s="5" t="s">
        <v>860</v>
      </c>
      <c r="F17" s="5" t="s">
        <v>861</v>
      </c>
      <c r="G17" s="5" t="s">
        <v>173</v>
      </c>
      <c r="H17" s="7" t="s">
        <v>753</v>
      </c>
      <c r="I17" s="11" t="s">
        <v>833</v>
      </c>
    </row>
    <row r="18" ht="69.75" customHeight="1">
      <c r="A18" s="8">
        <v>14.0</v>
      </c>
      <c r="B18" s="11" t="s">
        <v>862</v>
      </c>
      <c r="C18" s="8" t="s">
        <v>846</v>
      </c>
      <c r="D18" s="5" t="s">
        <v>863</v>
      </c>
      <c r="E18" s="5" t="s">
        <v>864</v>
      </c>
      <c r="F18" s="5" t="s">
        <v>173</v>
      </c>
      <c r="G18" s="5" t="s">
        <v>173</v>
      </c>
      <c r="H18" s="7" t="s">
        <v>810</v>
      </c>
      <c r="I18" s="11" t="s">
        <v>766</v>
      </c>
    </row>
    <row r="19" ht="69.75" customHeight="1">
      <c r="A19" s="8">
        <v>15.0</v>
      </c>
      <c r="B19" s="11" t="s">
        <v>865</v>
      </c>
      <c r="C19" s="8" t="s">
        <v>866</v>
      </c>
      <c r="D19" s="5" t="s">
        <v>867</v>
      </c>
      <c r="E19" s="5" t="s">
        <v>868</v>
      </c>
      <c r="F19" s="5" t="s">
        <v>869</v>
      </c>
      <c r="G19" s="5" t="s">
        <v>173</v>
      </c>
      <c r="H19" s="7" t="s">
        <v>870</v>
      </c>
      <c r="I19" s="11" t="s">
        <v>766</v>
      </c>
    </row>
    <row r="20" ht="69.75" customHeight="1">
      <c r="A20" s="8">
        <v>16.0</v>
      </c>
      <c r="B20" s="11" t="s">
        <v>871</v>
      </c>
      <c r="C20" s="8" t="s">
        <v>866</v>
      </c>
      <c r="D20" s="5" t="s">
        <v>872</v>
      </c>
      <c r="E20" s="5" t="s">
        <v>873</v>
      </c>
      <c r="F20" s="5" t="s">
        <v>874</v>
      </c>
      <c r="G20" s="5" t="s">
        <v>173</v>
      </c>
      <c r="H20" s="7" t="s">
        <v>870</v>
      </c>
      <c r="I20" s="11" t="s">
        <v>766</v>
      </c>
    </row>
    <row r="21" ht="69.75" customHeight="1">
      <c r="A21" s="8">
        <v>17.0</v>
      </c>
      <c r="B21" s="11" t="s">
        <v>875</v>
      </c>
      <c r="C21" s="8" t="s">
        <v>866</v>
      </c>
      <c r="D21" s="5" t="s">
        <v>876</v>
      </c>
      <c r="E21" s="5" t="s">
        <v>877</v>
      </c>
      <c r="F21" s="5" t="s">
        <v>878</v>
      </c>
      <c r="G21" s="5" t="s">
        <v>173</v>
      </c>
      <c r="H21" s="7" t="s">
        <v>870</v>
      </c>
      <c r="I21" s="11" t="s">
        <v>766</v>
      </c>
    </row>
    <row r="22" ht="69.75" customHeight="1">
      <c r="A22" s="8">
        <v>18.0</v>
      </c>
      <c r="B22" s="11" t="s">
        <v>879</v>
      </c>
      <c r="C22" s="8" t="s">
        <v>866</v>
      </c>
      <c r="D22" s="5" t="s">
        <v>880</v>
      </c>
      <c r="E22" s="5" t="s">
        <v>881</v>
      </c>
      <c r="F22" s="5" t="s">
        <v>882</v>
      </c>
      <c r="G22" s="5" t="s">
        <v>173</v>
      </c>
      <c r="H22" s="7" t="s">
        <v>810</v>
      </c>
      <c r="I22" s="11" t="s">
        <v>833</v>
      </c>
    </row>
    <row r="23" ht="69.75" customHeight="1">
      <c r="A23" s="8">
        <v>19.0</v>
      </c>
      <c r="B23" s="11" t="s">
        <v>883</v>
      </c>
      <c r="C23" s="8" t="s">
        <v>866</v>
      </c>
      <c r="D23" s="5" t="s">
        <v>884</v>
      </c>
      <c r="E23" s="5" t="s">
        <v>885</v>
      </c>
      <c r="F23" s="5" t="s">
        <v>837</v>
      </c>
      <c r="G23" s="5" t="s">
        <v>173</v>
      </c>
      <c r="H23" s="7" t="s">
        <v>870</v>
      </c>
      <c r="I23" s="11" t="s">
        <v>833</v>
      </c>
    </row>
    <row r="24" ht="69.75" customHeight="1">
      <c r="A24" s="8">
        <v>20.0</v>
      </c>
      <c r="B24" s="11" t="s">
        <v>886</v>
      </c>
      <c r="C24" s="8" t="s">
        <v>866</v>
      </c>
      <c r="D24" s="5" t="s">
        <v>887</v>
      </c>
      <c r="E24" s="5" t="s">
        <v>888</v>
      </c>
      <c r="F24" s="5" t="s">
        <v>889</v>
      </c>
      <c r="G24" s="5" t="s">
        <v>173</v>
      </c>
      <c r="H24" s="7" t="s">
        <v>870</v>
      </c>
      <c r="I24" s="11" t="s">
        <v>833</v>
      </c>
    </row>
    <row r="25" ht="69.75" customHeight="1">
      <c r="A25" s="8">
        <v>21.0</v>
      </c>
      <c r="B25" s="11" t="s">
        <v>890</v>
      </c>
      <c r="C25" s="8" t="s">
        <v>866</v>
      </c>
      <c r="D25" s="5" t="s">
        <v>891</v>
      </c>
      <c r="E25" s="5" t="s">
        <v>892</v>
      </c>
      <c r="F25" s="5" t="s">
        <v>893</v>
      </c>
      <c r="G25" s="5" t="s">
        <v>173</v>
      </c>
      <c r="H25" s="7" t="s">
        <v>870</v>
      </c>
      <c r="I25" s="11" t="s">
        <v>766</v>
      </c>
    </row>
    <row r="26" ht="69.75" customHeight="1">
      <c r="A26" s="8">
        <v>22.0</v>
      </c>
      <c r="B26" s="11" t="s">
        <v>894</v>
      </c>
      <c r="C26" s="8" t="s">
        <v>895</v>
      </c>
      <c r="D26" s="5" t="s">
        <v>896</v>
      </c>
      <c r="E26" s="5" t="s">
        <v>897</v>
      </c>
      <c r="F26" s="5" t="s">
        <v>882</v>
      </c>
      <c r="G26" s="5" t="s">
        <v>173</v>
      </c>
      <c r="H26" s="7" t="s">
        <v>810</v>
      </c>
      <c r="I26" s="11" t="s">
        <v>833</v>
      </c>
    </row>
    <row r="27" ht="69.75" customHeight="1">
      <c r="A27" s="8">
        <v>23.0</v>
      </c>
      <c r="B27" s="11" t="s">
        <v>894</v>
      </c>
      <c r="C27" s="8" t="s">
        <v>895</v>
      </c>
      <c r="D27" s="5" t="s">
        <v>898</v>
      </c>
      <c r="E27" s="5" t="s">
        <v>899</v>
      </c>
      <c r="F27" s="5" t="s">
        <v>882</v>
      </c>
      <c r="G27" s="5" t="s">
        <v>173</v>
      </c>
      <c r="H27" s="7" t="s">
        <v>810</v>
      </c>
      <c r="I27" s="11" t="s">
        <v>833</v>
      </c>
    </row>
    <row r="28" ht="69.75" customHeight="1">
      <c r="A28" s="8">
        <v>24.0</v>
      </c>
      <c r="B28" s="11" t="s">
        <v>900</v>
      </c>
      <c r="C28" s="8" t="s">
        <v>895</v>
      </c>
      <c r="D28" s="5" t="s">
        <v>901</v>
      </c>
      <c r="E28" s="5" t="s">
        <v>902</v>
      </c>
      <c r="F28" s="5" t="s">
        <v>173</v>
      </c>
      <c r="G28" s="5" t="s">
        <v>173</v>
      </c>
      <c r="H28" s="7" t="s">
        <v>810</v>
      </c>
      <c r="I28" s="11" t="s">
        <v>766</v>
      </c>
    </row>
    <row r="29" ht="69.75" customHeight="1">
      <c r="A29" s="8">
        <v>25.0</v>
      </c>
      <c r="B29" s="11" t="s">
        <v>903</v>
      </c>
      <c r="C29" s="8" t="s">
        <v>904</v>
      </c>
      <c r="D29" s="5" t="s">
        <v>905</v>
      </c>
      <c r="E29" s="5" t="s">
        <v>906</v>
      </c>
      <c r="F29" s="5" t="s">
        <v>882</v>
      </c>
      <c r="G29" s="5" t="s">
        <v>173</v>
      </c>
      <c r="H29" s="7" t="s">
        <v>810</v>
      </c>
      <c r="I29" s="11" t="s">
        <v>833</v>
      </c>
    </row>
    <row r="30" ht="69.75" customHeight="1">
      <c r="A30" s="8">
        <v>26.0</v>
      </c>
      <c r="B30" s="11" t="s">
        <v>907</v>
      </c>
      <c r="C30" s="8" t="s">
        <v>904</v>
      </c>
      <c r="D30" s="5" t="s">
        <v>908</v>
      </c>
      <c r="E30" s="5" t="s">
        <v>909</v>
      </c>
      <c r="F30" s="5" t="s">
        <v>173</v>
      </c>
      <c r="G30" s="5" t="s">
        <v>173</v>
      </c>
      <c r="H30" s="7" t="s">
        <v>810</v>
      </c>
      <c r="I30" s="11" t="s">
        <v>766</v>
      </c>
    </row>
    <row r="31" ht="69.75" customHeight="1">
      <c r="A31" s="8">
        <v>27.0</v>
      </c>
      <c r="B31" s="11" t="s">
        <v>910</v>
      </c>
      <c r="C31" s="8" t="s">
        <v>895</v>
      </c>
      <c r="D31" s="5" t="s">
        <v>911</v>
      </c>
      <c r="E31" s="5" t="s">
        <v>912</v>
      </c>
      <c r="F31" s="5" t="s">
        <v>173</v>
      </c>
      <c r="G31" s="5" t="s">
        <v>173</v>
      </c>
      <c r="H31" s="7" t="s">
        <v>810</v>
      </c>
      <c r="I31" s="11" t="s">
        <v>754</v>
      </c>
    </row>
    <row r="32" ht="69.75" customHeight="1">
      <c r="A32" s="8">
        <v>28.0</v>
      </c>
      <c r="B32" s="11" t="s">
        <v>913</v>
      </c>
      <c r="C32" s="8" t="s">
        <v>895</v>
      </c>
      <c r="D32" s="5" t="s">
        <v>914</v>
      </c>
      <c r="E32" s="5" t="s">
        <v>915</v>
      </c>
      <c r="F32" s="5" t="s">
        <v>173</v>
      </c>
      <c r="G32" s="5" t="s">
        <v>173</v>
      </c>
      <c r="H32" s="7" t="s">
        <v>810</v>
      </c>
      <c r="I32" s="11" t="s">
        <v>766</v>
      </c>
    </row>
    <row r="33" ht="69.75" customHeight="1">
      <c r="A33" s="8">
        <v>29.0</v>
      </c>
      <c r="B33" s="11" t="s">
        <v>916</v>
      </c>
      <c r="C33" s="8" t="s">
        <v>895</v>
      </c>
      <c r="D33" s="5" t="s">
        <v>917</v>
      </c>
      <c r="E33" s="5" t="s">
        <v>918</v>
      </c>
      <c r="F33" s="5" t="s">
        <v>882</v>
      </c>
      <c r="G33" s="5" t="s">
        <v>173</v>
      </c>
      <c r="H33" s="7" t="s">
        <v>810</v>
      </c>
      <c r="I33" s="11" t="s">
        <v>833</v>
      </c>
    </row>
    <row r="34" ht="15.75" customHeight="1"/>
    <row r="35" ht="15.75" customHeight="1">
      <c r="D35" s="6" t="s">
        <v>919</v>
      </c>
    </row>
    <row r="36" ht="15.75" customHeight="1">
      <c r="D36" s="5" t="s">
        <v>753</v>
      </c>
      <c r="E36" s="8">
        <f t="shared" ref="E36:E39" si="1">COUNTIF($H$5:$H$33,D36)</f>
        <v>9</v>
      </c>
    </row>
    <row r="37" ht="15.75" customHeight="1">
      <c r="D37" s="5" t="s">
        <v>810</v>
      </c>
      <c r="E37" s="8">
        <f t="shared" si="1"/>
        <v>14</v>
      </c>
    </row>
    <row r="38" ht="15.75" customHeight="1">
      <c r="D38" s="5" t="s">
        <v>870</v>
      </c>
      <c r="E38" s="8">
        <f t="shared" si="1"/>
        <v>6</v>
      </c>
    </row>
    <row r="39" ht="15.75" customHeight="1">
      <c r="D39" s="5" t="s">
        <v>920</v>
      </c>
      <c r="E39" s="8">
        <f t="shared" si="1"/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5:I33">
    <cfRule type="cellIs" dxfId="2" priority="1" operator="equal">
      <formula>"Alto"</formula>
    </cfRule>
  </conditionalFormatting>
  <dataValidations>
    <dataValidation type="list" allowBlank="1" sqref="H5:H33">
      <formula1>"Cubierto en diseño,Por definir,Depende del Anexo Técnico,Verificado en Moodle,No aplica"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0F8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3" width="66.0"/>
    <col customWidth="1" min="4" max="4" width="16.0"/>
    <col customWidth="1" min="5" max="5" width="14.0"/>
    <col customWidth="1" min="6" max="26" width="8.71"/>
  </cols>
  <sheetData>
    <row r="1">
      <c r="A1" s="1" t="s">
        <v>768</v>
      </c>
    </row>
    <row r="2">
      <c r="A2" s="2" t="s">
        <v>769</v>
      </c>
    </row>
    <row r="4" ht="31.5" customHeight="1">
      <c r="A4" s="4" t="s">
        <v>737</v>
      </c>
      <c r="B4" s="4" t="s">
        <v>182</v>
      </c>
      <c r="C4" s="4" t="s">
        <v>771</v>
      </c>
      <c r="D4" s="4" t="s">
        <v>772</v>
      </c>
      <c r="E4" s="4" t="s">
        <v>53</v>
      </c>
    </row>
    <row r="5" ht="61.5" customHeight="1">
      <c r="A5" s="8">
        <v>1.0</v>
      </c>
      <c r="B5" s="5" t="s">
        <v>775</v>
      </c>
      <c r="C5" s="5" t="s">
        <v>776</v>
      </c>
      <c r="D5" s="47" t="s">
        <v>779</v>
      </c>
      <c r="E5" s="7" t="s">
        <v>182</v>
      </c>
    </row>
    <row r="6" ht="61.5" customHeight="1">
      <c r="A6" s="8">
        <v>2.0</v>
      </c>
      <c r="B6" s="5" t="s">
        <v>785</v>
      </c>
      <c r="C6" s="5" t="s">
        <v>786</v>
      </c>
      <c r="D6" s="47" t="s">
        <v>179</v>
      </c>
      <c r="E6" s="7" t="s">
        <v>182</v>
      </c>
    </row>
    <row r="7" ht="61.5" customHeight="1">
      <c r="A7" s="8">
        <v>3.0</v>
      </c>
      <c r="B7" s="5" t="s">
        <v>789</v>
      </c>
      <c r="C7" s="5" t="s">
        <v>790</v>
      </c>
      <c r="D7" s="47" t="s">
        <v>779</v>
      </c>
      <c r="E7" s="7" t="s">
        <v>182</v>
      </c>
    </row>
    <row r="8" ht="61.5" customHeight="1">
      <c r="A8" s="8">
        <v>4.0</v>
      </c>
      <c r="B8" s="5" t="s">
        <v>792</v>
      </c>
      <c r="C8" s="5" t="s">
        <v>793</v>
      </c>
      <c r="D8" s="47" t="s">
        <v>779</v>
      </c>
      <c r="E8" s="7" t="s">
        <v>182</v>
      </c>
    </row>
    <row r="9" ht="61.5" customHeight="1">
      <c r="A9" s="8">
        <v>5.0</v>
      </c>
      <c r="B9" s="5" t="s">
        <v>794</v>
      </c>
      <c r="C9" s="5" t="s">
        <v>796</v>
      </c>
      <c r="D9" s="47" t="s">
        <v>779</v>
      </c>
      <c r="E9" s="7" t="s">
        <v>182</v>
      </c>
    </row>
    <row r="10" ht="61.5" customHeight="1">
      <c r="A10" s="8">
        <v>6.0</v>
      </c>
      <c r="B10" s="5" t="s">
        <v>797</v>
      </c>
      <c r="C10" s="5" t="s">
        <v>799</v>
      </c>
      <c r="D10" s="47" t="s">
        <v>779</v>
      </c>
      <c r="E10" s="7" t="s">
        <v>182</v>
      </c>
    </row>
    <row r="11" ht="61.5" customHeight="1">
      <c r="A11" s="8">
        <v>7.0</v>
      </c>
      <c r="B11" s="5" t="s">
        <v>800</v>
      </c>
      <c r="C11" s="5" t="s">
        <v>801</v>
      </c>
      <c r="D11" s="47" t="s">
        <v>802</v>
      </c>
      <c r="E11" s="7" t="s">
        <v>182</v>
      </c>
    </row>
    <row r="12" ht="61.5" customHeight="1">
      <c r="A12" s="8">
        <v>8.0</v>
      </c>
      <c r="B12" s="5" t="s">
        <v>804</v>
      </c>
      <c r="C12" s="5" t="s">
        <v>805</v>
      </c>
      <c r="D12" s="47" t="s">
        <v>802</v>
      </c>
      <c r="E12" s="7" t="s">
        <v>182</v>
      </c>
    </row>
    <row r="13" ht="61.5" customHeight="1">
      <c r="A13" s="8">
        <v>9.0</v>
      </c>
      <c r="B13" s="5" t="s">
        <v>807</v>
      </c>
      <c r="C13" s="5" t="s">
        <v>808</v>
      </c>
      <c r="D13" s="47" t="s">
        <v>779</v>
      </c>
      <c r="E13" s="7" t="s">
        <v>182</v>
      </c>
    </row>
    <row r="14" ht="61.5" customHeight="1">
      <c r="A14" s="8">
        <v>10.0</v>
      </c>
      <c r="B14" s="5" t="s">
        <v>809</v>
      </c>
      <c r="C14" s="5" t="s">
        <v>811</v>
      </c>
      <c r="D14" s="47" t="s">
        <v>779</v>
      </c>
      <c r="E14" s="7" t="s">
        <v>182</v>
      </c>
    </row>
    <row r="15" ht="61.5" customHeight="1">
      <c r="A15" s="8">
        <v>11.0</v>
      </c>
      <c r="B15" s="5" t="s">
        <v>812</v>
      </c>
      <c r="C15" s="5" t="s">
        <v>813</v>
      </c>
      <c r="D15" s="47" t="s">
        <v>814</v>
      </c>
      <c r="E15" s="7" t="s">
        <v>182</v>
      </c>
    </row>
    <row r="16" ht="61.5" customHeight="1">
      <c r="A16" s="8">
        <v>12.0</v>
      </c>
      <c r="B16" s="5" t="s">
        <v>815</v>
      </c>
      <c r="C16" s="5" t="s">
        <v>817</v>
      </c>
      <c r="D16" s="47" t="s">
        <v>779</v>
      </c>
      <c r="E16" s="7" t="s">
        <v>182</v>
      </c>
    </row>
    <row r="17" ht="61.5" customHeight="1">
      <c r="A17" s="8">
        <v>13.0</v>
      </c>
      <c r="B17" s="5" t="s">
        <v>819</v>
      </c>
      <c r="C17" s="5" t="s">
        <v>821</v>
      </c>
      <c r="D17" s="47" t="s">
        <v>179</v>
      </c>
      <c r="E17" s="7" t="s">
        <v>182</v>
      </c>
    </row>
    <row r="18" ht="61.5" customHeight="1">
      <c r="A18" s="8">
        <v>14.0</v>
      </c>
      <c r="B18" s="5" t="s">
        <v>823</v>
      </c>
      <c r="C18" s="5" t="s">
        <v>824</v>
      </c>
      <c r="D18" s="47" t="s">
        <v>779</v>
      </c>
      <c r="E18" s="7" t="s">
        <v>182</v>
      </c>
    </row>
    <row r="19" ht="61.5" customHeight="1">
      <c r="A19" s="8">
        <v>15.0</v>
      </c>
      <c r="B19" s="5" t="s">
        <v>825</v>
      </c>
      <c r="C19" s="5" t="s">
        <v>826</v>
      </c>
      <c r="D19" s="47" t="s">
        <v>779</v>
      </c>
      <c r="E19" s="7" t="s">
        <v>182</v>
      </c>
    </row>
    <row r="20" ht="61.5" customHeight="1">
      <c r="A20" s="8">
        <v>16.0</v>
      </c>
      <c r="B20" s="5" t="s">
        <v>827</v>
      </c>
      <c r="C20" s="5" t="s">
        <v>828</v>
      </c>
      <c r="D20" s="47" t="s">
        <v>179</v>
      </c>
      <c r="E20" s="7" t="s">
        <v>182</v>
      </c>
    </row>
    <row r="21" ht="61.5" customHeight="1">
      <c r="A21" s="8">
        <v>17.0</v>
      </c>
      <c r="B21" s="5" t="s">
        <v>829</v>
      </c>
      <c r="C21" s="5" t="s">
        <v>830</v>
      </c>
      <c r="D21" s="47" t="s">
        <v>179</v>
      </c>
      <c r="E21" s="7" t="s">
        <v>182</v>
      </c>
    </row>
    <row r="22" ht="61.5" customHeight="1">
      <c r="A22" s="8">
        <v>18.0</v>
      </c>
      <c r="B22" s="5" t="s">
        <v>831</v>
      </c>
      <c r="C22" s="5" t="s">
        <v>832</v>
      </c>
      <c r="D22" s="47" t="s">
        <v>173</v>
      </c>
      <c r="E22" s="7" t="s">
        <v>182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5:E22">
      <formula1>"Pendiente,En proceso,Listo"</formula1>
    </dataValidation>
  </dataValidations>
  <printOptions/>
  <pageMargins bottom="1.0" footer="0.0" header="0.0" left="0.75" right="0.75" top="1.0"/>
  <pageSetup paperSize="9" orientation="portrait"/>
  <drawing r:id="rId1"/>
</worksheet>
</file>